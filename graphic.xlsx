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dattica poli\uzebikastan\TTPU 2025\exam\05-02-2026\"/>
    </mc:Choice>
  </mc:AlternateContent>
  <xr:revisionPtr revIDLastSave="0" documentId="13_ncr:1_{86FA2687-9317-43C0-BA50-427FB7B6BA74}" xr6:coauthVersionLast="47" xr6:coauthVersionMax="47" xr10:uidLastSave="{00000000-0000-0000-0000-000000000000}"/>
  <bookViews>
    <workbookView xWindow="-28920" yWindow="-120" windowWidth="29040" windowHeight="15720" activeTab="2" xr2:uid="{C5DB30BF-311A-4D51-AEDA-614AAE58FDA5}"/>
  </bookViews>
  <sheets>
    <sheet name="UncTable (2)" sheetId="4" r:id="rId1"/>
    <sheet name="probability" sheetId="3" r:id="rId2"/>
    <sheet name="data analysis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G37" i="3"/>
  <c r="G38" i="3" s="1"/>
  <c r="F46" i="3" s="1"/>
  <c r="C34" i="4"/>
  <c r="G33" i="4"/>
  <c r="A33" i="4"/>
  <c r="M29" i="4"/>
  <c r="I23" i="4"/>
  <c r="K23" i="4" s="1"/>
  <c r="I22" i="4"/>
  <c r="K22" i="4" s="1"/>
  <c r="B22" i="4"/>
  <c r="H21" i="4"/>
  <c r="K21" i="4" s="1"/>
  <c r="I20" i="4"/>
  <c r="K20" i="4" s="1"/>
  <c r="B20" i="4"/>
  <c r="B25" i="4" s="1"/>
  <c r="I7" i="4"/>
  <c r="I6" i="4"/>
  <c r="F43" i="3"/>
  <c r="G43" i="3" s="1"/>
  <c r="N23" i="2"/>
  <c r="K23" i="2"/>
  <c r="I22" i="3"/>
  <c r="K22" i="3" s="1"/>
  <c r="B18" i="3" s="1"/>
  <c r="K19" i="3"/>
  <c r="B17" i="3" s="1"/>
  <c r="K17" i="3"/>
  <c r="B16" i="3" s="1"/>
  <c r="K15" i="3"/>
  <c r="B15" i="3" s="1"/>
  <c r="G11" i="2"/>
  <c r="G10" i="2"/>
  <c r="M20" i="2" s="1"/>
  <c r="G9" i="2"/>
  <c r="D51" i="2"/>
  <c r="D50" i="2"/>
  <c r="D52" i="2" s="1"/>
  <c r="D34" i="4" l="1"/>
  <c r="C33" i="4"/>
  <c r="D33" i="4" s="1"/>
  <c r="G34" i="4"/>
  <c r="G47" i="3"/>
  <c r="G48" i="3"/>
  <c r="G49" i="3"/>
  <c r="I24" i="3"/>
  <c r="D10" i="2"/>
  <c r="K20" i="2"/>
  <c r="D54" i="2"/>
  <c r="D53" i="2"/>
  <c r="D9" i="2"/>
  <c r="B39" i="2" s="1"/>
  <c r="F33" i="4" l="1"/>
  <c r="L20" i="4" s="1"/>
  <c r="E33" i="4"/>
  <c r="E34" i="4"/>
  <c r="F34" i="4" s="1"/>
  <c r="L22" i="4" s="1"/>
  <c r="I26" i="3"/>
  <c r="K26" i="3" s="1"/>
  <c r="B20" i="3" s="1"/>
  <c r="K24" i="3"/>
  <c r="B19" i="3" s="1"/>
  <c r="D12" i="2"/>
  <c r="C39" i="2" s="1"/>
  <c r="L21" i="4" l="1"/>
  <c r="M21" i="4" s="1"/>
  <c r="M20" i="4"/>
  <c r="L23" i="4"/>
  <c r="M23" i="4" s="1"/>
  <c r="M22" i="4"/>
  <c r="B40" i="2"/>
  <c r="C40" i="2" s="1"/>
  <c r="D39" i="2"/>
  <c r="O22" i="4" l="1"/>
  <c r="J4" i="4" s="1"/>
  <c r="L4" i="4" s="1"/>
  <c r="N22" i="4"/>
  <c r="O23" i="4"/>
  <c r="O4" i="4" s="1"/>
  <c r="Q4" i="4" s="1"/>
  <c r="N23" i="4"/>
  <c r="O20" i="4"/>
  <c r="J3" i="4" s="1"/>
  <c r="N20" i="4"/>
  <c r="M25" i="4"/>
  <c r="M26" i="4" s="1"/>
  <c r="N21" i="4"/>
  <c r="O21" i="4"/>
  <c r="O3" i="4" s="1"/>
  <c r="Q3" i="4" s="1"/>
  <c r="D40" i="2"/>
  <c r="E40" i="2" s="1"/>
  <c r="B41" i="2"/>
  <c r="C41" i="2" s="1"/>
  <c r="E39" i="2"/>
  <c r="L30" i="4" l="1"/>
  <c r="J5" i="4"/>
  <c r="L5" i="4" s="1"/>
  <c r="M30" i="4"/>
  <c r="O5" i="4" s="1"/>
  <c r="Q5" i="4" s="1"/>
  <c r="D41" i="2"/>
  <c r="E41" i="2" s="1"/>
  <c r="B42" i="2"/>
  <c r="C42" i="2" s="1"/>
  <c r="D42" i="2" l="1"/>
  <c r="B43" i="2"/>
  <c r="C43" i="2" s="1"/>
  <c r="F39" i="2" s="1" a="1"/>
  <c r="F39" i="2" l="1"/>
  <c r="F40" i="2"/>
  <c r="G40" i="2" s="1"/>
  <c r="F41" i="2"/>
  <c r="G41" i="2" s="1"/>
  <c r="F42" i="2"/>
  <c r="F43" i="2"/>
  <c r="D43" i="2"/>
  <c r="E43" i="2" s="1"/>
  <c r="E42" i="2"/>
  <c r="G43" i="2" l="1"/>
  <c r="G42" i="2"/>
  <c r="D44" i="2"/>
  <c r="E44" i="2"/>
  <c r="G39" i="2" l="1"/>
  <c r="F44" i="2"/>
  <c r="G44" i="2" l="1"/>
  <c r="G46" i="2"/>
  <c r="K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Giulio Barbato</author>
    <author>Barbato</author>
  </authors>
  <commentList>
    <comment ref="D19" authorId="0" shapeId="0" xr:uid="{99CBE820-339E-40C2-94E8-C2BA685E4029}">
      <text>
        <r>
          <rPr>
            <sz val="8"/>
            <color indexed="81"/>
            <rFont val="Tahoma"/>
            <family val="2"/>
          </rPr>
          <t>Expanded Uncertainty</t>
        </r>
      </text>
    </comment>
    <comment ref="E19" authorId="0" shapeId="0" xr:uid="{3397ACF9-2092-4EA5-A6EB-3027E5666E8A}">
      <text>
        <r>
          <rPr>
            <sz val="8"/>
            <color indexed="81"/>
            <rFont val="Tahoma"/>
            <family val="2"/>
          </rPr>
          <t>Presumed confidence level</t>
        </r>
      </text>
    </comment>
    <comment ref="F19" authorId="0" shapeId="0" xr:uid="{A6FF8986-8E4E-46D2-8235-5AD229D2E82B}">
      <text>
        <r>
          <rPr>
            <sz val="8"/>
            <color indexed="81"/>
            <rFont val="Tahoma"/>
            <family val="2"/>
          </rPr>
          <t>Presumed degrees of freedom</t>
        </r>
      </text>
    </comment>
    <comment ref="G19" authorId="0" shapeId="0" xr:uid="{F5B0D733-34E6-4670-8981-A2C23AF34370}">
      <text>
        <r>
          <rPr>
            <sz val="8"/>
            <color indexed="81"/>
            <rFont val="Tahoma"/>
            <family val="2"/>
          </rPr>
          <t>Presumed coverage factor</t>
        </r>
      </text>
    </comment>
    <comment ref="H19" authorId="0" shapeId="0" xr:uid="{32BD334C-16D5-41F1-87E6-E812D0C96062}">
      <text>
        <r>
          <rPr>
            <sz val="8"/>
            <color indexed="81"/>
            <rFont val="Tahoma"/>
            <family val="2"/>
          </rPr>
          <t>Standard deviation</t>
        </r>
      </text>
    </comment>
    <comment ref="I19" authorId="0" shapeId="0" xr:uid="{7D5F85FD-BF69-4131-A858-CCE324CEEBAD}">
      <text>
        <r>
          <rPr>
            <sz val="8"/>
            <color indexed="81"/>
            <rFont val="Tahoma"/>
            <family val="2"/>
          </rPr>
          <t>half of variability band</t>
        </r>
      </text>
    </comment>
    <comment ref="J19" authorId="0" shapeId="0" xr:uid="{7B188EC8-5A02-4FA2-97C0-411D2E9D011C}">
      <text>
        <r>
          <rPr>
            <sz val="8"/>
            <color indexed="81"/>
            <rFont val="Tahoma"/>
            <family val="2"/>
          </rPr>
          <t>B type denominator</t>
        </r>
      </text>
    </comment>
    <comment ref="F20" authorId="1" shapeId="0" xr:uid="{F7533D0A-2A57-437B-9A09-E5B84E66E24E}">
      <text>
        <r>
          <rPr>
            <b/>
            <sz val="10"/>
            <color indexed="81"/>
            <rFont val="Tahoma"/>
            <family val="2"/>
          </rPr>
          <t>Information on the degrees of freedom (4 measurements, 3 d.o.f.) is given together with the information on expanded uncertainty.</t>
        </r>
      </text>
    </comment>
  </commentList>
</comments>
</file>

<file path=xl/sharedStrings.xml><?xml version="1.0" encoding="utf-8"?>
<sst xmlns="http://schemas.openxmlformats.org/spreadsheetml/2006/main" count="234" uniqueCount="148">
  <si>
    <t>EXPERIMENTAL DATA ANALYSIS</t>
  </si>
  <si>
    <r>
      <t xml:space="preserve">Frequency distribution and </t>
    </r>
    <r>
      <rPr>
        <b/>
        <sz val="10"/>
        <rFont val="Symbol"/>
        <family val="1"/>
        <charset val="2"/>
      </rPr>
      <t>c</t>
    </r>
    <r>
      <rPr>
        <b/>
        <vertAlign val="superscript"/>
        <sz val="10"/>
        <rFont val="MS Sans Serif"/>
        <family val="2"/>
      </rPr>
      <t>2</t>
    </r>
    <r>
      <rPr>
        <b/>
        <sz val="10"/>
        <rFont val="MS Sans Serif"/>
        <family val="2"/>
      </rPr>
      <t xml:space="preserve"> test</t>
    </r>
  </si>
  <si>
    <t>#</t>
  </si>
  <si>
    <t>results</t>
  </si>
  <si>
    <r>
      <t>f</t>
    </r>
    <r>
      <rPr>
        <vertAlign val="subscript"/>
        <sz val="10"/>
        <rFont val="Arial"/>
        <family val="2"/>
      </rPr>
      <t>a</t>
    </r>
  </si>
  <si>
    <t>Absolute experimental frequency</t>
  </si>
  <si>
    <r>
      <t>f</t>
    </r>
    <r>
      <rPr>
        <vertAlign val="subscript"/>
        <sz val="10"/>
        <rFont val="Arial"/>
        <family val="2"/>
      </rPr>
      <t>r</t>
    </r>
  </si>
  <si>
    <t>Relative experimental frequency</t>
  </si>
  <si>
    <r>
      <t>f</t>
    </r>
    <r>
      <rPr>
        <vertAlign val="subscript"/>
        <sz val="10"/>
        <rFont val="Arial"/>
        <family val="2"/>
      </rPr>
      <t>at</t>
    </r>
  </si>
  <si>
    <t>Absolute theoretical frequency</t>
  </si>
  <si>
    <r>
      <t>f</t>
    </r>
    <r>
      <rPr>
        <vertAlign val="subscript"/>
        <sz val="10"/>
        <rFont val="Arial"/>
        <family val="2"/>
      </rPr>
      <t>rt</t>
    </r>
  </si>
  <si>
    <t>Relative theoretical frequency</t>
  </si>
  <si>
    <t>Minimum of the examined field</t>
  </si>
  <si>
    <t>average</t>
  </si>
  <si>
    <t>Maximum of the examined field</t>
  </si>
  <si>
    <t>st dev</t>
  </si>
  <si>
    <t>Number of classes</t>
  </si>
  <si>
    <t>N</t>
  </si>
  <si>
    <t>Class dimension</t>
  </si>
  <si>
    <t>Q</t>
  </si>
  <si>
    <t>a)</t>
  </si>
  <si>
    <t>m</t>
  </si>
  <si>
    <t>s</t>
  </si>
  <si>
    <t>b)</t>
  </si>
  <si>
    <t>c)</t>
  </si>
  <si>
    <t>d)</t>
  </si>
  <si>
    <t>e)</t>
  </si>
  <si>
    <t>f)</t>
  </si>
  <si>
    <t>Do not reject</t>
  </si>
  <si>
    <r>
      <t xml:space="preserve">Evaluation of </t>
    </r>
    <r>
      <rPr>
        <b/>
        <sz val="10"/>
        <rFont val="Symbol"/>
        <family val="1"/>
        <charset val="2"/>
      </rPr>
      <t>c</t>
    </r>
    <r>
      <rPr>
        <b/>
        <vertAlign val="superscript"/>
        <sz val="10"/>
        <rFont val="Arial"/>
        <family val="2"/>
      </rPr>
      <t>2</t>
    </r>
  </si>
  <si>
    <t>class</t>
  </si>
  <si>
    <t>From</t>
  </si>
  <si>
    <t>To</t>
  </si>
  <si>
    <r>
      <t>(f</t>
    </r>
    <r>
      <rPr>
        <vertAlign val="subscript"/>
        <sz val="10"/>
        <rFont val="Arial"/>
        <family val="2"/>
      </rPr>
      <t>a</t>
    </r>
    <r>
      <rPr>
        <sz val="11"/>
        <color theme="1"/>
        <rFont val="Aptos Narrow"/>
        <family val="2"/>
        <scheme val="minor"/>
      </rPr>
      <t xml:space="preserve"> - f</t>
    </r>
    <r>
      <rPr>
        <vertAlign val="subscript"/>
        <sz val="10"/>
        <rFont val="Arial"/>
        <family val="2"/>
      </rPr>
      <t>at</t>
    </r>
    <r>
      <rPr>
        <sz val="11"/>
        <color theme="1"/>
        <rFont val="Aptos Narrow"/>
        <family val="2"/>
        <scheme val="minor"/>
      </rPr>
      <t>)</t>
    </r>
    <r>
      <rPr>
        <vertAlign val="superscript"/>
        <sz val="10"/>
        <rFont val="Arial"/>
        <family val="2"/>
      </rPr>
      <t>2</t>
    </r>
    <r>
      <rPr>
        <sz val="11"/>
        <color theme="1"/>
        <rFont val="Aptos Narrow"/>
        <family val="2"/>
        <scheme val="minor"/>
      </rPr>
      <t>/f</t>
    </r>
    <r>
      <rPr>
        <vertAlign val="subscript"/>
        <sz val="10"/>
        <rFont val="Arial"/>
        <family val="2"/>
      </rPr>
      <t>at</t>
    </r>
  </si>
  <si>
    <t>[mm]</t>
  </si>
  <si>
    <r>
      <t xml:space="preserve">Experimental </t>
    </r>
    <r>
      <rPr>
        <sz val="10"/>
        <rFont val="Symbol"/>
        <family val="1"/>
        <charset val="2"/>
      </rPr>
      <t>c</t>
    </r>
    <r>
      <rPr>
        <vertAlign val="superscript"/>
        <sz val="10"/>
        <rFont val="Arial"/>
        <family val="2"/>
      </rPr>
      <t>2</t>
    </r>
  </si>
  <si>
    <r>
      <t xml:space="preserve">Theoretical </t>
    </r>
    <r>
      <rPr>
        <b/>
        <sz val="10"/>
        <rFont val="Symbol"/>
        <family val="1"/>
        <charset val="2"/>
      </rPr>
      <t>c</t>
    </r>
    <r>
      <rPr>
        <b/>
        <vertAlign val="superscript"/>
        <sz val="10"/>
        <rFont val="Arial"/>
        <family val="2"/>
      </rPr>
      <t>2</t>
    </r>
  </si>
  <si>
    <t>Confidence level</t>
  </si>
  <si>
    <t>Number of constraints</t>
  </si>
  <si>
    <t>Degrees of freedom (d.o.f)</t>
  </si>
  <si>
    <r>
      <t xml:space="preserve">Lower boundary of  </t>
    </r>
    <r>
      <rPr>
        <sz val="10"/>
        <rFont val="Symbol"/>
        <family val="1"/>
        <charset val="2"/>
      </rPr>
      <t>c</t>
    </r>
    <r>
      <rPr>
        <vertAlign val="superscript"/>
        <sz val="10"/>
        <rFont val="Arial"/>
        <family val="2"/>
      </rPr>
      <t>2</t>
    </r>
  </si>
  <si>
    <r>
      <t xml:space="preserve">Upper boundary of </t>
    </r>
    <r>
      <rPr>
        <sz val="10"/>
        <rFont val="Symbol"/>
        <family val="1"/>
        <charset val="2"/>
      </rPr>
      <t>c</t>
    </r>
    <r>
      <rPr>
        <vertAlign val="superscript"/>
        <sz val="10"/>
        <rFont val="Arial"/>
        <family val="2"/>
      </rPr>
      <t>2</t>
    </r>
  </si>
  <si>
    <t>Conclusions:</t>
  </si>
  <si>
    <r>
      <t xml:space="preserve">Report the results in percentage form with </t>
    </r>
    <r>
      <rPr>
        <u/>
        <sz val="11"/>
        <color theme="1"/>
        <rFont val="Calibri"/>
        <family val="2"/>
      </rPr>
      <t xml:space="preserve">exactly </t>
    </r>
    <r>
      <rPr>
        <sz val="11"/>
        <color theme="1"/>
        <rFont val="Calibri"/>
        <family val="2"/>
      </rPr>
      <t xml:space="preserve"> two decimal units like 0.12%, or 99.85%. If more or less than 2 decimal digits are reported, the mark will be reduced. </t>
    </r>
  </si>
  <si>
    <t>HYPERGEOMETRIC</t>
  </si>
  <si>
    <t>sc</t>
  </si>
  <si>
    <t>nc</t>
  </si>
  <si>
    <t>sp</t>
  </si>
  <si>
    <t>np</t>
  </si>
  <si>
    <t>c</t>
  </si>
  <si>
    <t>P</t>
  </si>
  <si>
    <t>BINOMIAL</t>
  </si>
  <si>
    <t>mean</t>
  </si>
  <si>
    <t>LSI</t>
  </si>
  <si>
    <t>LSS</t>
  </si>
  <si>
    <t>z</t>
  </si>
  <si>
    <t>g)</t>
  </si>
  <si>
    <t>h)</t>
  </si>
  <si>
    <t>LSI*</t>
  </si>
  <si>
    <t>LSS*</t>
  </si>
  <si>
    <t>In a box there are 15 screws and 5 nuts.</t>
  </si>
  <si>
    <t xml:space="preserve">If I extract 5 pieces without reinsertion </t>
  </si>
  <si>
    <t>a) Calculate the probability that exactly 1 piece is a  screw</t>
  </si>
  <si>
    <t>b) Calculate the probability that exactly 1 piece is a  nut</t>
  </si>
  <si>
    <t>c) Calculate the probability that a least 2 piece are nuts</t>
  </si>
  <si>
    <t xml:space="preserve">If I extract 6 pieces with reinsertion </t>
  </si>
  <si>
    <r>
      <t xml:space="preserve">The experimental </t>
    </r>
    <r>
      <rPr>
        <sz val="10"/>
        <rFont val="Calibri"/>
        <family val="2"/>
      </rPr>
      <t>χ</t>
    </r>
    <r>
      <rPr>
        <sz val="11"/>
        <color theme="1"/>
        <rFont val="Aptos Narrow"/>
        <family val="2"/>
        <scheme val="minor"/>
      </rPr>
      <t>2 lays in the confidence interval. The test cannot reject null hypothesis of normality at a confidence level of 75%.</t>
    </r>
  </si>
  <si>
    <t>0.5, 3.3, 6.3, 3.3, 0.5</t>
  </si>
  <si>
    <t xml:space="preserve">X2min =  </t>
  </si>
  <si>
    <t xml:space="preserve">X2max = </t>
  </si>
  <si>
    <t xml:space="preserve">X2exp = </t>
  </si>
  <si>
    <t>1, 2, 7, 3, 1</t>
  </si>
  <si>
    <t>d) Calculate the probability that exactly 0 pieces are screws.</t>
  </si>
  <si>
    <t>e) Calculate the probability that all  the extracted pieces are screws</t>
  </si>
  <si>
    <t>f) Calculate the probability that a least 2 piece are nuts.</t>
  </si>
  <si>
    <t>kg</t>
  </si>
  <si>
    <t xml:space="preserve">st dev </t>
  </si>
  <si>
    <t>g2</t>
  </si>
  <si>
    <t>var</t>
  </si>
  <si>
    <t>ex 1</t>
  </si>
  <si>
    <r>
      <t>I have a normal distribution of masses, the mean value is 3.5 kg, the variance is 10000 g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. I have the specification limits of LSI = 3.2 kg and LSS = 3.6  kg</t>
    </r>
  </si>
  <si>
    <t>g) Determine the percentage of masses within the specification (i.e. whose mass is within the specification limits LSI and LSS) in a percentage form with 2 decimal digits, like 0.12%</t>
  </si>
  <si>
    <t>h) Estimate the values of new specification limits (symmetric with respect to the mean value) which result in a percentage of masses  within the specification of 90%, expressed in kg</t>
  </si>
  <si>
    <t>i) Report the standard deviation of the distribution expressed in kg</t>
  </si>
  <si>
    <t>i)</t>
  </si>
  <si>
    <t>Uncertainty table</t>
  </si>
  <si>
    <t>Measuring instrument:</t>
  </si>
  <si>
    <t>Factor</t>
  </si>
  <si>
    <t>Information</t>
  </si>
  <si>
    <t>Value</t>
  </si>
  <si>
    <t>3a</t>
  </si>
  <si>
    <t>base</t>
  </si>
  <si>
    <t>u(A,res)</t>
  </si>
  <si>
    <t>mm</t>
  </si>
  <si>
    <t>u(A,repr)</t>
  </si>
  <si>
    <t>resolution</t>
  </si>
  <si>
    <t>height</t>
  </si>
  <si>
    <t>u(A,acc)</t>
  </si>
  <si>
    <t>reproducibility</t>
  </si>
  <si>
    <t>3b</t>
  </si>
  <si>
    <t>u(area)</t>
  </si>
  <si>
    <t>mm2</t>
  </si>
  <si>
    <t>m2</t>
  </si>
  <si>
    <t>U(area)</t>
  </si>
  <si>
    <t>3c</t>
  </si>
  <si>
    <t>smalles</t>
  </si>
  <si>
    <t>h</t>
  </si>
  <si>
    <t>3d</t>
  </si>
  <si>
    <t>biggest</t>
  </si>
  <si>
    <t>accuracy (error)</t>
  </si>
  <si>
    <t>measure</t>
  </si>
  <si>
    <t>Mathematical model</t>
  </si>
  <si>
    <r>
      <t xml:space="preserve">Variable </t>
    </r>
    <r>
      <rPr>
        <i/>
        <sz val="10"/>
        <rFont val="Arial"/>
        <family val="2"/>
      </rPr>
      <t>x</t>
    </r>
    <r>
      <rPr>
        <i/>
        <vertAlign val="subscript"/>
        <sz val="10"/>
        <rFont val="Arial"/>
        <family val="2"/>
      </rPr>
      <t>j</t>
    </r>
  </si>
  <si>
    <t>Statistical</t>
  </si>
  <si>
    <t>Non Statistical</t>
  </si>
  <si>
    <t>Symbol</t>
  </si>
  <si>
    <t>Note</t>
  </si>
  <si>
    <r>
      <t>U</t>
    </r>
    <r>
      <rPr>
        <i/>
        <vertAlign val="subscript"/>
        <sz val="10"/>
        <rFont val="Arial"/>
        <family val="2"/>
      </rPr>
      <t>j</t>
    </r>
  </si>
  <si>
    <r>
      <t>P</t>
    </r>
    <r>
      <rPr>
        <i/>
        <vertAlign val="subscript"/>
        <sz val="10"/>
        <rFont val="Arial"/>
        <family val="2"/>
      </rPr>
      <t>dj</t>
    </r>
  </si>
  <si>
    <r>
      <t>n</t>
    </r>
    <r>
      <rPr>
        <i/>
        <vertAlign val="subscript"/>
        <sz val="10"/>
        <rFont val="Arial"/>
        <family val="2"/>
      </rPr>
      <t>dj</t>
    </r>
  </si>
  <si>
    <r>
      <t>k</t>
    </r>
    <r>
      <rPr>
        <i/>
        <vertAlign val="subscript"/>
        <sz val="10"/>
        <rFont val="Arial"/>
        <family val="2"/>
      </rPr>
      <t>dj</t>
    </r>
  </si>
  <si>
    <r>
      <t>s</t>
    </r>
    <r>
      <rPr>
        <i/>
        <vertAlign val="subscript"/>
        <sz val="10"/>
        <rFont val="Arial"/>
        <family val="2"/>
      </rPr>
      <t>j</t>
    </r>
  </si>
  <si>
    <r>
      <t>a</t>
    </r>
    <r>
      <rPr>
        <i/>
        <vertAlign val="subscript"/>
        <sz val="10"/>
        <rFont val="Arial"/>
        <family val="2"/>
      </rPr>
      <t>j</t>
    </r>
  </si>
  <si>
    <r>
      <t>k</t>
    </r>
    <r>
      <rPr>
        <i/>
        <vertAlign val="subscript"/>
        <sz val="10"/>
        <rFont val="Arial"/>
        <family val="2"/>
      </rPr>
      <t>a</t>
    </r>
  </si>
  <si>
    <r>
      <t>u²(</t>
    </r>
    <r>
      <rPr>
        <i/>
        <sz val="10"/>
        <rFont val="Arial"/>
        <family val="2"/>
      </rPr>
      <t>x</t>
    </r>
    <r>
      <rPr>
        <i/>
        <vertAlign val="subscript"/>
        <sz val="10"/>
        <rFont val="Arial"/>
        <family val="2"/>
      </rPr>
      <t>j</t>
    </r>
    <r>
      <rPr>
        <sz val="10"/>
        <rFont val="Times New Roman"/>
        <family val="1"/>
      </rPr>
      <t>)</t>
    </r>
  </si>
  <si>
    <t>ci=Dy/Dx</t>
  </si>
  <si>
    <r>
      <t>u</t>
    </r>
    <r>
      <rPr>
        <vertAlign val="subscript"/>
        <sz val="10"/>
        <rFont val="Arial"/>
        <family val="2"/>
      </rPr>
      <t>j</t>
    </r>
    <r>
      <rPr>
        <sz val="10"/>
        <rFont val="Times New Roman"/>
        <family val="1"/>
      </rPr>
      <t>²(y)</t>
    </r>
  </si>
  <si>
    <t>Rank</t>
  </si>
  <si>
    <t>ui(y)</t>
  </si>
  <si>
    <t>b</t>
  </si>
  <si>
    <t xml:space="preserve"> reproducibility</t>
  </si>
  <si>
    <t>accuracy</t>
  </si>
  <si>
    <t>y = A</t>
  </si>
  <si>
    <r>
      <t xml:space="preserve">Variance of </t>
    </r>
    <r>
      <rPr>
        <i/>
        <sz val="10"/>
        <rFont val="Arial"/>
        <family val="2"/>
      </rPr>
      <t>y</t>
    </r>
    <r>
      <rPr>
        <sz val="10"/>
        <rFont val="Times New Roman"/>
        <family val="1"/>
      </rPr>
      <t>, u²(</t>
    </r>
    <r>
      <rPr>
        <i/>
        <sz val="10"/>
        <rFont val="Arial"/>
        <family val="2"/>
      </rPr>
      <t>y</t>
    </r>
    <r>
      <rPr>
        <sz val="10"/>
        <rFont val="Times New Roman"/>
        <family val="1"/>
      </rPr>
      <t>)</t>
    </r>
  </si>
  <si>
    <r>
      <t xml:space="preserve">Standard uncertainty of </t>
    </r>
    <r>
      <rPr>
        <i/>
        <sz val="10"/>
        <rFont val="Arial"/>
        <family val="2"/>
      </rPr>
      <t>y</t>
    </r>
    <r>
      <rPr>
        <sz val="10"/>
        <rFont val="Times New Roman"/>
        <family val="1"/>
      </rPr>
      <t>, u(y)</t>
    </r>
  </si>
  <si>
    <t>Coverage factor (Student t)</t>
  </si>
  <si>
    <t>Expanded uncertainty U(y)</t>
  </si>
  <si>
    <t>Computation of Sensitivity Coefficients</t>
  </si>
  <si>
    <r>
      <t>D</t>
    </r>
    <r>
      <rPr>
        <sz val="10"/>
        <rFont val="Times New Roman"/>
        <family val="1"/>
      </rPr>
      <t>x</t>
    </r>
    <r>
      <rPr>
        <vertAlign val="subscript"/>
        <sz val="10"/>
        <rFont val="Arial"/>
        <family val="2"/>
      </rPr>
      <t>i</t>
    </r>
  </si>
  <si>
    <r>
      <t>x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+</t>
    </r>
    <r>
      <rPr>
        <sz val="10"/>
        <rFont val="Symbol"/>
        <family val="1"/>
        <charset val="2"/>
      </rPr>
      <t>D</t>
    </r>
    <r>
      <rPr>
        <sz val="10"/>
        <rFont val="Times New Roman"/>
        <family val="1"/>
      </rPr>
      <t>x</t>
    </r>
    <r>
      <rPr>
        <vertAlign val="subscript"/>
        <sz val="10"/>
        <rFont val="Arial"/>
        <family val="2"/>
      </rPr>
      <t>i</t>
    </r>
  </si>
  <si>
    <r>
      <t>y+</t>
    </r>
    <r>
      <rPr>
        <sz val="10"/>
        <rFont val="Symbol"/>
        <family val="1"/>
        <charset val="2"/>
      </rPr>
      <t>D</t>
    </r>
    <r>
      <rPr>
        <sz val="10"/>
        <rFont val="Times New Roman"/>
        <family val="1"/>
      </rPr>
      <t>y</t>
    </r>
  </si>
  <si>
    <r>
      <t>D</t>
    </r>
    <r>
      <rPr>
        <sz val="10"/>
        <rFont val="Times New Roman"/>
        <family val="1"/>
      </rPr>
      <t>y</t>
    </r>
  </si>
  <si>
    <r>
      <t>D</t>
    </r>
    <r>
      <rPr>
        <sz val="10"/>
        <rFont val="Times New Roman"/>
        <family val="1"/>
      </rPr>
      <t>y/</t>
    </r>
    <r>
      <rPr>
        <sz val="10"/>
        <rFont val="Symbol"/>
        <family val="1"/>
        <charset val="2"/>
      </rPr>
      <t>D</t>
    </r>
    <r>
      <rPr>
        <sz val="10"/>
        <rFont val="Times New Roman"/>
        <family val="1"/>
      </rPr>
      <t>x</t>
    </r>
  </si>
  <si>
    <t>derivative</t>
  </si>
  <si>
    <t>Show the main factors to be considered for reducing the uncertainty</t>
  </si>
  <si>
    <t>accuracy h</t>
  </si>
  <si>
    <t>Show the main factors to be considered for reducing the costs</t>
  </si>
  <si>
    <t>resolution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</si>
</sst>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00"/>
    <numFmt numFmtId="166" formatCode="0.0"/>
    <numFmt numFmtId="167" formatCode="0.000"/>
    <numFmt numFmtId="168" formatCode="0.0%"/>
    <numFmt numFmtId="169" formatCode="0.00000E+00"/>
    <numFmt numFmtId="170" formatCode="0.0E+00"/>
    <numFmt numFmtId="171" formatCode="0E+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MS Sans Serif"/>
      <family val="2"/>
    </font>
    <font>
      <b/>
      <sz val="10"/>
      <name val="Symbol"/>
      <family val="1"/>
      <charset val="2"/>
    </font>
    <font>
      <b/>
      <vertAlign val="superscript"/>
      <sz val="10"/>
      <name val="MS Sans Serif"/>
      <family val="2"/>
    </font>
    <font>
      <sz val="12"/>
      <name val="Arial"/>
      <family val="2"/>
    </font>
    <font>
      <vertAlign val="subscript"/>
      <sz val="10"/>
      <name val="Arial"/>
      <family val="2"/>
    </font>
    <font>
      <sz val="14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sz val="10"/>
      <name val="Calibri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i/>
      <sz val="10"/>
      <name val="Arial"/>
      <family val="2"/>
    </font>
    <font>
      <i/>
      <vertAlign val="subscript"/>
      <sz val="10"/>
      <name val="Arial"/>
      <family val="2"/>
    </font>
    <font>
      <i/>
      <sz val="10"/>
      <name val="Symbol"/>
      <family val="1"/>
      <charset val="2"/>
    </font>
    <font>
      <sz val="10"/>
      <color theme="1"/>
      <name val="Times New Roman"/>
      <family val="1"/>
    </font>
    <font>
      <sz val="10"/>
      <color theme="9"/>
      <name val="Times New Roman"/>
      <family val="1"/>
    </font>
    <font>
      <sz val="10"/>
      <color rgb="FFFF0000"/>
      <name val="Times New Roman"/>
      <family val="1"/>
    </font>
    <font>
      <sz val="10"/>
      <name val="Aptos Display"/>
      <family val="1"/>
      <scheme val="major"/>
    </font>
    <font>
      <sz val="8"/>
      <color indexed="81"/>
      <name val="Tahoma"/>
      <family val="2"/>
    </font>
    <font>
      <b/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0"/>
  </cellStyleXfs>
  <cellXfs count="161">
    <xf numFmtId="0" fontId="0" fillId="0" borderId="0" xfId="0"/>
    <xf numFmtId="0" fontId="3" fillId="0" borderId="0" xfId="2" applyFont="1"/>
    <xf numFmtId="2" fontId="2" fillId="0" borderId="0" xfId="2" applyNumberFormat="1"/>
    <xf numFmtId="0" fontId="2" fillId="0" borderId="0" xfId="2"/>
    <xf numFmtId="0" fontId="4" fillId="0" borderId="0" xfId="2" applyFont="1"/>
    <xf numFmtId="0" fontId="7" fillId="0" borderId="0" xfId="2" applyFont="1" applyAlignment="1">
      <alignment horizontal="center"/>
    </xf>
    <xf numFmtId="0" fontId="2" fillId="0" borderId="0" xfId="2" applyAlignment="1">
      <alignment horizontal="center"/>
    </xf>
    <xf numFmtId="164" fontId="2" fillId="0" borderId="0" xfId="2" applyNumberFormat="1" applyAlignment="1">
      <alignment horizontal="center"/>
    </xf>
    <xf numFmtId="165" fontId="2" fillId="0" borderId="0" xfId="2" applyNumberFormat="1" applyAlignment="1">
      <alignment horizontal="center"/>
    </xf>
    <xf numFmtId="0" fontId="2" fillId="0" borderId="0" xfId="2" applyAlignment="1">
      <alignment horizontal="left"/>
    </xf>
    <xf numFmtId="2" fontId="2" fillId="2" borderId="0" xfId="2" applyNumberFormat="1" applyFill="1"/>
    <xf numFmtId="0" fontId="2" fillId="2" borderId="0" xfId="2" applyFill="1"/>
    <xf numFmtId="164" fontId="2" fillId="0" borderId="0" xfId="2" applyNumberFormat="1"/>
    <xf numFmtId="164" fontId="2" fillId="2" borderId="0" xfId="2" applyNumberFormat="1" applyFill="1"/>
    <xf numFmtId="1" fontId="2" fillId="2" borderId="0" xfId="2" applyNumberFormat="1" applyFill="1"/>
    <xf numFmtId="166" fontId="2" fillId="2" borderId="0" xfId="2" applyNumberFormat="1" applyFill="1"/>
    <xf numFmtId="167" fontId="2" fillId="0" borderId="0" xfId="2" applyNumberFormat="1"/>
    <xf numFmtId="0" fontId="9" fillId="0" borderId="0" xfId="2" applyFont="1"/>
    <xf numFmtId="2" fontId="9" fillId="0" borderId="0" xfId="2" applyNumberFormat="1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horizontal="center"/>
    </xf>
    <xf numFmtId="167" fontId="2" fillId="0" borderId="0" xfId="2" applyNumberFormat="1" applyAlignment="1">
      <alignment horizontal="center"/>
    </xf>
    <xf numFmtId="2" fontId="2" fillId="0" borderId="0" xfId="2" applyNumberFormat="1" applyAlignment="1">
      <alignment horizontal="center"/>
    </xf>
    <xf numFmtId="164" fontId="2" fillId="3" borderId="0" xfId="2" applyNumberFormat="1" applyFill="1" applyAlignment="1">
      <alignment horizontal="center"/>
    </xf>
    <xf numFmtId="166" fontId="2" fillId="3" borderId="0" xfId="2" applyNumberFormat="1" applyFill="1" applyAlignment="1">
      <alignment horizontal="center"/>
    </xf>
    <xf numFmtId="0" fontId="2" fillId="3" borderId="0" xfId="2" applyFill="1" applyAlignment="1">
      <alignment horizontal="center"/>
    </xf>
    <xf numFmtId="2" fontId="2" fillId="3" borderId="0" xfId="2" applyNumberFormat="1" applyFill="1" applyAlignment="1">
      <alignment horizontal="center"/>
    </xf>
    <xf numFmtId="165" fontId="2" fillId="0" borderId="0" xfId="2" applyNumberFormat="1"/>
    <xf numFmtId="9" fontId="2" fillId="3" borderId="0" xfId="2" applyNumberFormat="1" applyFill="1" applyAlignment="1">
      <alignment horizontal="center"/>
    </xf>
    <xf numFmtId="0" fontId="2" fillId="0" borderId="0" xfId="2" applyAlignment="1">
      <alignment horizontal="center" vertical="top"/>
    </xf>
    <xf numFmtId="1" fontId="2" fillId="3" borderId="0" xfId="2" applyNumberFormat="1" applyFill="1" applyAlignment="1">
      <alignment horizontal="center"/>
    </xf>
    <xf numFmtId="168" fontId="2" fillId="0" borderId="0" xfId="2" applyNumberFormat="1"/>
    <xf numFmtId="0" fontId="14" fillId="0" borderId="0" xfId="3"/>
    <xf numFmtId="0" fontId="15" fillId="0" borderId="0" xfId="0" applyFont="1" applyAlignment="1">
      <alignment vertical="center"/>
    </xf>
    <xf numFmtId="2" fontId="14" fillId="0" borderId="0" xfId="3" applyNumberFormat="1"/>
    <xf numFmtId="0" fontId="14" fillId="0" borderId="1" xfId="3" applyBorder="1" applyAlignment="1">
      <alignment horizontal="center"/>
    </xf>
    <xf numFmtId="0" fontId="14" fillId="0" borderId="2" xfId="3" applyBorder="1" applyAlignment="1">
      <alignment horizontal="center"/>
    </xf>
    <xf numFmtId="0" fontId="14" fillId="0" borderId="3" xfId="3" applyBorder="1" applyAlignment="1">
      <alignment horizontal="center"/>
    </xf>
    <xf numFmtId="0" fontId="14" fillId="0" borderId="0" xfId="3" applyAlignment="1">
      <alignment horizontal="center"/>
    </xf>
    <xf numFmtId="10" fontId="14" fillId="0" borderId="0" xfId="3" applyNumberFormat="1"/>
    <xf numFmtId="0" fontId="14" fillId="0" borderId="4" xfId="3" applyBorder="1"/>
    <xf numFmtId="0" fontId="14" fillId="0" borderId="5" xfId="3" applyBorder="1" applyAlignment="1">
      <alignment horizontal="center"/>
    </xf>
    <xf numFmtId="10" fontId="14" fillId="0" borderId="6" xfId="3" applyNumberFormat="1" applyBorder="1" applyAlignment="1">
      <alignment horizontal="center"/>
    </xf>
    <xf numFmtId="10" fontId="14" fillId="0" borderId="0" xfId="3" applyNumberFormat="1" applyAlignment="1">
      <alignment horizontal="center"/>
    </xf>
    <xf numFmtId="0" fontId="14" fillId="0" borderId="1" xfId="3" applyBorder="1"/>
    <xf numFmtId="10" fontId="14" fillId="0" borderId="3" xfId="3" applyNumberFormat="1" applyBorder="1" applyAlignment="1">
      <alignment horizontal="center"/>
    </xf>
    <xf numFmtId="166" fontId="14" fillId="0" borderId="0" xfId="3" applyNumberFormat="1"/>
    <xf numFmtId="168" fontId="14" fillId="0" borderId="0" xfId="3" applyNumberFormat="1" applyAlignment="1">
      <alignment horizontal="center"/>
    </xf>
    <xf numFmtId="9" fontId="14" fillId="0" borderId="0" xfId="3" applyNumberFormat="1"/>
    <xf numFmtId="168" fontId="14" fillId="0" borderId="0" xfId="3" applyNumberFormat="1"/>
    <xf numFmtId="0" fontId="15" fillId="0" borderId="0" xfId="0" applyFont="1" applyAlignment="1">
      <alignment horizontal="justify" vertical="center"/>
    </xf>
    <xf numFmtId="0" fontId="15" fillId="0" borderId="0" xfId="0" applyFont="1"/>
    <xf numFmtId="0" fontId="14" fillId="0" borderId="2" xfId="3" applyBorder="1"/>
    <xf numFmtId="0" fontId="14" fillId="0" borderId="3" xfId="3" applyBorder="1"/>
    <xf numFmtId="0" fontId="14" fillId="0" borderId="7" xfId="3" applyBorder="1"/>
    <xf numFmtId="0" fontId="14" fillId="0" borderId="8" xfId="3" applyBorder="1"/>
    <xf numFmtId="0" fontId="14" fillId="0" borderId="5" xfId="3" applyBorder="1"/>
    <xf numFmtId="2" fontId="14" fillId="0" borderId="5" xfId="3" applyNumberFormat="1" applyBorder="1"/>
    <xf numFmtId="0" fontId="14" fillId="0" borderId="6" xfId="3" applyBorder="1"/>
    <xf numFmtId="9" fontId="14" fillId="0" borderId="5" xfId="1" applyFont="1" applyBorder="1" applyAlignment="1">
      <alignment horizontal="center"/>
    </xf>
    <xf numFmtId="9" fontId="14" fillId="0" borderId="5" xfId="3" applyNumberFormat="1" applyBorder="1" applyAlignment="1">
      <alignment horizontal="center"/>
    </xf>
    <xf numFmtId="0" fontId="18" fillId="0" borderId="0" xfId="3" applyFont="1"/>
    <xf numFmtId="0" fontId="19" fillId="0" borderId="0" xfId="3" applyFont="1"/>
    <xf numFmtId="0" fontId="20" fillId="0" borderId="0" xfId="3" applyFont="1"/>
    <xf numFmtId="0" fontId="14" fillId="4" borderId="0" xfId="3" applyFill="1"/>
    <xf numFmtId="0" fontId="13" fillId="0" borderId="0" xfId="3" applyFont="1"/>
    <xf numFmtId="0" fontId="14" fillId="5" borderId="0" xfId="3" applyFill="1"/>
    <xf numFmtId="169" fontId="14" fillId="0" borderId="0" xfId="3" applyNumberFormat="1"/>
    <xf numFmtId="0" fontId="12" fillId="0" borderId="0" xfId="3" applyFont="1"/>
    <xf numFmtId="0" fontId="3" fillId="0" borderId="0" xfId="3" applyFont="1"/>
    <xf numFmtId="0" fontId="14" fillId="6" borderId="1" xfId="3" applyFill="1" applyBorder="1"/>
    <xf numFmtId="0" fontId="14" fillId="6" borderId="2" xfId="3" applyFill="1" applyBorder="1"/>
    <xf numFmtId="0" fontId="14" fillId="6" borderId="3" xfId="3" applyFill="1" applyBorder="1"/>
    <xf numFmtId="0" fontId="2" fillId="6" borderId="13" xfId="3" applyFont="1" applyFill="1" applyBorder="1" applyAlignment="1">
      <alignment horizontal="center"/>
    </xf>
    <xf numFmtId="0" fontId="14" fillId="6" borderId="14" xfId="3" applyFill="1" applyBorder="1" applyAlignment="1">
      <alignment horizontal="center"/>
    </xf>
    <xf numFmtId="0" fontId="14" fillId="6" borderId="15" xfId="3" applyFill="1" applyBorder="1" applyAlignment="1">
      <alignment horizontal="center"/>
    </xf>
    <xf numFmtId="0" fontId="21" fillId="6" borderId="13" xfId="3" applyFont="1" applyFill="1" applyBorder="1" applyAlignment="1">
      <alignment horizontal="center"/>
    </xf>
    <xf numFmtId="0" fontId="21" fillId="6" borderId="14" xfId="3" applyFont="1" applyFill="1" applyBorder="1" applyAlignment="1">
      <alignment horizontal="center"/>
    </xf>
    <xf numFmtId="0" fontId="23" fillId="6" borderId="14" xfId="3" applyFont="1" applyFill="1" applyBorder="1" applyAlignment="1">
      <alignment horizontal="center"/>
    </xf>
    <xf numFmtId="0" fontId="21" fillId="6" borderId="16" xfId="3" applyFont="1" applyFill="1" applyBorder="1" applyAlignment="1">
      <alignment horizontal="center"/>
    </xf>
    <xf numFmtId="0" fontId="21" fillId="6" borderId="0" xfId="3" applyFont="1" applyFill="1" applyAlignment="1">
      <alignment horizontal="center"/>
    </xf>
    <xf numFmtId="0" fontId="21" fillId="6" borderId="8" xfId="3" applyFont="1" applyFill="1" applyBorder="1" applyAlignment="1">
      <alignment horizontal="center"/>
    </xf>
    <xf numFmtId="0" fontId="14" fillId="6" borderId="7" xfId="3" applyFill="1" applyBorder="1" applyAlignment="1">
      <alignment horizontal="center"/>
    </xf>
    <xf numFmtId="0" fontId="14" fillId="6" borderId="0" xfId="3" applyFill="1" applyAlignment="1">
      <alignment horizontal="center"/>
    </xf>
    <xf numFmtId="0" fontId="14" fillId="6" borderId="8" xfId="3" applyFill="1" applyBorder="1" applyAlignment="1">
      <alignment horizontal="center"/>
    </xf>
    <xf numFmtId="0" fontId="14" fillId="3" borderId="13" xfId="3" applyFill="1" applyBorder="1" applyAlignment="1">
      <alignment horizontal="center"/>
    </xf>
    <xf numFmtId="11" fontId="14" fillId="3" borderId="14" xfId="3" applyNumberFormat="1" applyFill="1" applyBorder="1" applyAlignment="1">
      <alignment horizontal="center"/>
    </xf>
    <xf numFmtId="169" fontId="14" fillId="3" borderId="14" xfId="3" applyNumberFormat="1" applyFill="1" applyBorder="1" applyAlignment="1">
      <alignment horizontal="center"/>
    </xf>
    <xf numFmtId="170" fontId="14" fillId="3" borderId="13" xfId="3" applyNumberFormat="1" applyFill="1" applyBorder="1" applyAlignment="1">
      <alignment horizontal="center"/>
    </xf>
    <xf numFmtId="168" fontId="14" fillId="3" borderId="14" xfId="3" applyNumberFormat="1" applyFill="1" applyBorder="1" applyAlignment="1">
      <alignment horizontal="center"/>
    </xf>
    <xf numFmtId="0" fontId="14" fillId="3" borderId="14" xfId="3" applyFill="1" applyBorder="1" applyAlignment="1">
      <alignment horizontal="center"/>
    </xf>
    <xf numFmtId="166" fontId="14" fillId="3" borderId="14" xfId="3" applyNumberFormat="1" applyFill="1" applyBorder="1" applyAlignment="1">
      <alignment horizontal="center"/>
    </xf>
    <xf numFmtId="170" fontId="14" fillId="3" borderId="16" xfId="3" applyNumberFormat="1" applyFill="1" applyBorder="1" applyAlignment="1">
      <alignment horizontal="center"/>
    </xf>
    <xf numFmtId="170" fontId="14" fillId="3" borderId="0" xfId="3" applyNumberFormat="1" applyFill="1" applyAlignment="1">
      <alignment horizontal="center"/>
    </xf>
    <xf numFmtId="0" fontId="14" fillId="3" borderId="8" xfId="3" applyFill="1" applyBorder="1" applyAlignment="1">
      <alignment horizontal="center"/>
    </xf>
    <xf numFmtId="170" fontId="14" fillId="6" borderId="7" xfId="3" applyNumberFormat="1" applyFill="1" applyBorder="1" applyAlignment="1">
      <alignment horizontal="center"/>
    </xf>
    <xf numFmtId="170" fontId="14" fillId="6" borderId="0" xfId="3" applyNumberFormat="1" applyFill="1" applyAlignment="1">
      <alignment horizontal="center"/>
    </xf>
    <xf numFmtId="1" fontId="24" fillId="0" borderId="8" xfId="3" applyNumberFormat="1" applyFont="1" applyBorder="1" applyAlignment="1">
      <alignment horizontal="center"/>
    </xf>
    <xf numFmtId="1" fontId="14" fillId="0" borderId="8" xfId="3" applyNumberFormat="1" applyBorder="1" applyAlignment="1">
      <alignment horizontal="center"/>
    </xf>
    <xf numFmtId="1" fontId="25" fillId="0" borderId="8" xfId="3" applyNumberFormat="1" applyFont="1" applyBorder="1" applyAlignment="1">
      <alignment horizontal="center"/>
    </xf>
    <xf numFmtId="0" fontId="14" fillId="3" borderId="15" xfId="3" applyFill="1" applyBorder="1" applyAlignment="1">
      <alignment horizontal="center"/>
    </xf>
    <xf numFmtId="1" fontId="26" fillId="0" borderId="8" xfId="3" applyNumberFormat="1" applyFont="1" applyBorder="1" applyAlignment="1">
      <alignment horizontal="center"/>
    </xf>
    <xf numFmtId="0" fontId="2" fillId="6" borderId="17" xfId="3" applyFont="1" applyFill="1" applyBorder="1" applyAlignment="1">
      <alignment horizontal="center"/>
    </xf>
    <xf numFmtId="11" fontId="14" fillId="6" borderId="18" xfId="3" applyNumberFormat="1" applyFill="1" applyBorder="1" applyAlignment="1">
      <alignment horizontal="center"/>
    </xf>
    <xf numFmtId="0" fontId="14" fillId="6" borderId="19" xfId="3" applyFill="1" applyBorder="1" applyAlignment="1">
      <alignment horizontal="center"/>
    </xf>
    <xf numFmtId="0" fontId="14" fillId="6" borderId="17" xfId="3" applyFill="1" applyBorder="1" applyAlignment="1">
      <alignment horizontal="center"/>
    </xf>
    <xf numFmtId="0" fontId="14" fillId="6" borderId="18" xfId="3" applyFill="1" applyBorder="1" applyAlignment="1">
      <alignment horizontal="center"/>
    </xf>
    <xf numFmtId="0" fontId="14" fillId="6" borderId="20" xfId="3" applyFill="1" applyBorder="1" applyAlignment="1">
      <alignment horizontal="center"/>
    </xf>
    <xf numFmtId="0" fontId="14" fillId="6" borderId="5" xfId="3" applyFill="1" applyBorder="1" applyAlignment="1">
      <alignment horizontal="center"/>
    </xf>
    <xf numFmtId="0" fontId="14" fillId="6" borderId="6" xfId="3" applyFill="1" applyBorder="1" applyAlignment="1">
      <alignment horizontal="center"/>
    </xf>
    <xf numFmtId="170" fontId="14" fillId="6" borderId="4" xfId="3" applyNumberFormat="1" applyFill="1" applyBorder="1" applyAlignment="1">
      <alignment horizontal="center"/>
    </xf>
    <xf numFmtId="170" fontId="14" fillId="6" borderId="5" xfId="3" applyNumberFormat="1" applyFill="1" applyBorder="1" applyAlignment="1">
      <alignment horizontal="center"/>
    </xf>
    <xf numFmtId="170" fontId="14" fillId="6" borderId="6" xfId="3" applyNumberFormat="1" applyFill="1" applyBorder="1" applyAlignment="1">
      <alignment horizontal="center"/>
    </xf>
    <xf numFmtId="0" fontId="14" fillId="6" borderId="21" xfId="3" applyFill="1" applyBorder="1" applyAlignment="1">
      <alignment horizontal="center"/>
    </xf>
    <xf numFmtId="164" fontId="14" fillId="3" borderId="21" xfId="3" applyNumberFormat="1" applyFill="1" applyBorder="1" applyAlignment="1">
      <alignment horizontal="center"/>
    </xf>
    <xf numFmtId="164" fontId="14" fillId="0" borderId="0" xfId="3" applyNumberFormat="1" applyAlignment="1">
      <alignment horizontal="center"/>
    </xf>
    <xf numFmtId="0" fontId="14" fillId="6" borderId="0" xfId="3" applyFill="1" applyAlignment="1">
      <alignment horizontal="left"/>
    </xf>
    <xf numFmtId="167" fontId="14" fillId="6" borderId="0" xfId="3" applyNumberFormat="1" applyFill="1" applyAlignment="1">
      <alignment horizontal="center"/>
    </xf>
    <xf numFmtId="164" fontId="14" fillId="6" borderId="0" xfId="3" applyNumberFormat="1" applyFill="1" applyAlignment="1">
      <alignment horizontal="center"/>
    </xf>
    <xf numFmtId="170" fontId="14" fillId="0" borderId="0" xfId="3" applyNumberFormat="1" applyAlignment="1">
      <alignment horizontal="center"/>
    </xf>
    <xf numFmtId="0" fontId="14" fillId="6" borderId="0" xfId="3" applyFill="1"/>
    <xf numFmtId="11" fontId="14" fillId="6" borderId="0" xfId="3" applyNumberFormat="1" applyFill="1" applyAlignment="1">
      <alignment horizontal="center"/>
    </xf>
    <xf numFmtId="1" fontId="14" fillId="0" borderId="0" xfId="3" applyNumberFormat="1" applyAlignment="1">
      <alignment horizontal="center"/>
    </xf>
    <xf numFmtId="0" fontId="2" fillId="0" borderId="0" xfId="3" applyFont="1" applyAlignment="1">
      <alignment horizontal="left" vertical="top" wrapText="1"/>
    </xf>
    <xf numFmtId="0" fontId="14" fillId="0" borderId="0" xfId="3" applyAlignment="1">
      <alignment horizontal="left" vertical="top" wrapText="1"/>
    </xf>
    <xf numFmtId="0" fontId="2" fillId="6" borderId="0" xfId="3" applyFont="1" applyFill="1" applyAlignment="1">
      <alignment horizontal="left"/>
    </xf>
    <xf numFmtId="1" fontId="14" fillId="6" borderId="0" xfId="3" applyNumberFormat="1" applyFill="1" applyAlignment="1">
      <alignment horizontal="center"/>
    </xf>
    <xf numFmtId="9" fontId="14" fillId="3" borderId="0" xfId="3" applyNumberFormat="1" applyFill="1" applyAlignment="1">
      <alignment horizontal="center"/>
    </xf>
    <xf numFmtId="11" fontId="14" fillId="0" borderId="0" xfId="3" applyNumberFormat="1" applyAlignment="1">
      <alignment horizontal="center"/>
    </xf>
    <xf numFmtId="2" fontId="14" fillId="0" borderId="0" xfId="3" applyNumberFormat="1" applyAlignment="1">
      <alignment horizontal="center"/>
    </xf>
    <xf numFmtId="11" fontId="14" fillId="6" borderId="0" xfId="3" applyNumberFormat="1" applyFill="1"/>
    <xf numFmtId="0" fontId="14" fillId="3" borderId="0" xfId="3" applyFill="1"/>
    <xf numFmtId="0" fontId="14" fillId="0" borderId="0" xfId="3" applyAlignment="1">
      <alignment horizontal="left"/>
    </xf>
    <xf numFmtId="0" fontId="12" fillId="0" borderId="0" xfId="3" applyFont="1" applyAlignment="1">
      <alignment horizontal="center"/>
    </xf>
    <xf numFmtId="0" fontId="2" fillId="0" borderId="0" xfId="3" applyFont="1" applyAlignment="1">
      <alignment horizontal="center"/>
    </xf>
    <xf numFmtId="0" fontId="27" fillId="0" borderId="1" xfId="3" applyFont="1" applyBorder="1" applyAlignment="1">
      <alignment horizontal="center"/>
    </xf>
    <xf numFmtId="171" fontId="14" fillId="0" borderId="0" xfId="3" applyNumberFormat="1" applyAlignment="1">
      <alignment horizontal="center"/>
    </xf>
    <xf numFmtId="11" fontId="14" fillId="0" borderId="7" xfId="3" applyNumberFormat="1" applyBorder="1"/>
    <xf numFmtId="11" fontId="14" fillId="0" borderId="4" xfId="3" applyNumberFormat="1" applyBorder="1"/>
    <xf numFmtId="0" fontId="14" fillId="0" borderId="0" xfId="3" applyAlignment="1">
      <alignment vertical="center"/>
    </xf>
    <xf numFmtId="170" fontId="14" fillId="0" borderId="0" xfId="3" applyNumberFormat="1"/>
    <xf numFmtId="1" fontId="14" fillId="0" borderId="0" xfId="3" applyNumberFormat="1"/>
    <xf numFmtId="167" fontId="14" fillId="0" borderId="0" xfId="3" applyNumberFormat="1"/>
    <xf numFmtId="170" fontId="14" fillId="3" borderId="14" xfId="3" applyNumberFormat="1" applyFill="1" applyBorder="1" applyAlignment="1">
      <alignment horizontal="center"/>
    </xf>
    <xf numFmtId="0" fontId="14" fillId="0" borderId="1" xfId="3" applyBorder="1" applyAlignment="1">
      <alignment vertical="center" wrapText="1"/>
    </xf>
    <xf numFmtId="0" fontId="14" fillId="0" borderId="2" xfId="3" applyBorder="1" applyAlignment="1">
      <alignment vertical="center" wrapText="1"/>
    </xf>
    <xf numFmtId="0" fontId="14" fillId="0" borderId="3" xfId="3" applyBorder="1" applyAlignment="1">
      <alignment vertical="center" wrapText="1"/>
    </xf>
    <xf numFmtId="0" fontId="14" fillId="3" borderId="4" xfId="3" applyFill="1" applyBorder="1" applyAlignment="1">
      <alignment vertical="center" wrapText="1"/>
    </xf>
    <xf numFmtId="0" fontId="14" fillId="3" borderId="5" xfId="3" applyFill="1" applyBorder="1" applyAlignment="1">
      <alignment vertical="center" wrapText="1"/>
    </xf>
    <xf numFmtId="0" fontId="14" fillId="3" borderId="6" xfId="3" applyFill="1" applyBorder="1" applyAlignment="1">
      <alignment vertical="center" wrapText="1"/>
    </xf>
    <xf numFmtId="0" fontId="20" fillId="0" borderId="0" xfId="3" applyFont="1" applyAlignment="1">
      <alignment horizontal="center"/>
    </xf>
    <xf numFmtId="0" fontId="14" fillId="6" borderId="9" xfId="3" applyFill="1" applyBorder="1" applyAlignment="1">
      <alignment horizontal="center"/>
    </xf>
    <xf numFmtId="0" fontId="14" fillId="6" borderId="10" xfId="3" applyFill="1" applyBorder="1" applyAlignment="1">
      <alignment horizontal="center"/>
    </xf>
    <xf numFmtId="0" fontId="14" fillId="6" borderId="11" xfId="3" applyFill="1" applyBorder="1" applyAlignment="1">
      <alignment horizontal="center"/>
    </xf>
    <xf numFmtId="0" fontId="14" fillId="6" borderId="12" xfId="3" applyFill="1" applyBorder="1" applyAlignment="1">
      <alignment horizontal="center"/>
    </xf>
    <xf numFmtId="0" fontId="14" fillId="6" borderId="2" xfId="3" applyFill="1" applyBorder="1" applyAlignment="1">
      <alignment horizontal="center"/>
    </xf>
    <xf numFmtId="0" fontId="14" fillId="6" borderId="3" xfId="3" applyFill="1" applyBorder="1" applyAlignment="1">
      <alignment horizontal="center"/>
    </xf>
    <xf numFmtId="0" fontId="2" fillId="2" borderId="0" xfId="2" applyFill="1" applyAlignment="1">
      <alignment horizontal="center" vertical="top" wrapText="1"/>
    </xf>
    <xf numFmtId="2" fontId="14" fillId="2" borderId="0" xfId="3" applyNumberFormat="1" applyFill="1"/>
    <xf numFmtId="170" fontId="14" fillId="2" borderId="0" xfId="3" applyNumberFormat="1" applyFill="1"/>
    <xf numFmtId="2" fontId="9" fillId="0" borderId="0" xfId="2" applyNumberFormat="1" applyFont="1" applyAlignment="1">
      <alignment horizontal="center"/>
    </xf>
  </cellXfs>
  <cellStyles count="4">
    <cellStyle name="Normal" xfId="0" builtinId="0"/>
    <cellStyle name="Normal 2" xfId="2" xr:uid="{20566205-8138-4DCA-8C7E-E180E3A23F3A}"/>
    <cellStyle name="Normal 3" xfId="3" xr:uid="{E4CB88F8-B92C-4ABD-99C0-6E8134D198F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'Fr. Distr.'!#REF!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12.5</c:v>
                </c:pt>
                <c:pt idx="3">
                  <c:v>112.49999999999999</c:v>
                </c:pt>
                <c:pt idx="4">
                  <c:v>112.49999999999999</c:v>
                </c:pt>
                <c:pt idx="5">
                  <c:v>187.49999999999997</c:v>
                </c:pt>
                <c:pt idx="6">
                  <c:v>87.5</c:v>
                </c:pt>
                <c:pt idx="7">
                  <c:v>50</c:v>
                </c:pt>
                <c:pt idx="8">
                  <c:v>62.5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'Fr. Distr.'!#REF!</c15:sqref>
                        </c15:formulaRef>
                      </c:ext>
                    </c:extLst>
                    <c:strCache>
                      <c:ptCount val="1"/>
                      <c:pt idx="0">
                        <c:v>Dens. fr.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'Fr. Distr.'!#REF!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4.4981499999999999</c:v>
                      </c:pt>
                      <c:pt idx="1">
                        <c:v>4.4997499999999997</c:v>
                      </c:pt>
                      <c:pt idx="2">
                        <c:v>4.5013499999999995</c:v>
                      </c:pt>
                      <c:pt idx="3">
                        <c:v>4.5029499999999993</c:v>
                      </c:pt>
                      <c:pt idx="4">
                        <c:v>4.5045499999999992</c:v>
                      </c:pt>
                      <c:pt idx="5">
                        <c:v>4.506149999999999</c:v>
                      </c:pt>
                      <c:pt idx="6">
                        <c:v>4.5077499999999988</c:v>
                      </c:pt>
                      <c:pt idx="7">
                        <c:v>4.5093499999999986</c:v>
                      </c:pt>
                      <c:pt idx="8">
                        <c:v>4.5109499999999985</c:v>
                      </c:pt>
                      <c:pt idx="9">
                        <c:v>4.5125499999999983</c:v>
                      </c:pt>
                      <c:pt idx="10">
                        <c:v>4.5141499999999981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EB1-4371-BD77-13DA362B3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7806592"/>
        <c:axId val="137808128"/>
      </c:bar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'Fr. Distr.'!#REF!</c:f>
              <c:numCache>
                <c:formatCode>General</c:formatCode>
                <c:ptCount val="11"/>
                <c:pt idx="0">
                  <c:v>1.1605286712059932</c:v>
                </c:pt>
                <c:pt idx="1">
                  <c:v>6.7185470249835948</c:v>
                </c:pt>
                <c:pt idx="2">
                  <c:v>26.378700397528036</c:v>
                </c:pt>
                <c:pt idx="3">
                  <c:v>70.240885258623535</c:v>
                </c:pt>
                <c:pt idx="4">
                  <c:v>126.84843242173849</c:v>
                </c:pt>
                <c:pt idx="5">
                  <c:v>155.35984522936798</c:v>
                </c:pt>
                <c:pt idx="6">
                  <c:v>129.04791801695447</c:v>
                </c:pt>
                <c:pt idx="7">
                  <c:v>72.697884267558507</c:v>
                </c:pt>
                <c:pt idx="8">
                  <c:v>27.774809458670433</c:v>
                </c:pt>
                <c:pt idx="9">
                  <c:v>7.1967920147331625</c:v>
                </c:pt>
                <c:pt idx="10">
                  <c:v>1.2646937216220657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'Fr. Distr.'!#REF!</c15:sqref>
                        </c15:formulaRef>
                      </c:ext>
                    </c:extLst>
                    <c:strCache>
                      <c:ptCount val="1"/>
                      <c:pt idx="0">
                        <c:v>Gauss.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'Fr. Distr.'!#REF!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4.4981499999999999</c:v>
                      </c:pt>
                      <c:pt idx="1">
                        <c:v>4.4997499999999997</c:v>
                      </c:pt>
                      <c:pt idx="2">
                        <c:v>4.5013499999999995</c:v>
                      </c:pt>
                      <c:pt idx="3">
                        <c:v>4.5029499999999993</c:v>
                      </c:pt>
                      <c:pt idx="4">
                        <c:v>4.5045499999999992</c:v>
                      </c:pt>
                      <c:pt idx="5">
                        <c:v>4.506149999999999</c:v>
                      </c:pt>
                      <c:pt idx="6">
                        <c:v>4.5077499999999988</c:v>
                      </c:pt>
                      <c:pt idx="7">
                        <c:v>4.5093499999999986</c:v>
                      </c:pt>
                      <c:pt idx="8">
                        <c:v>4.5109499999999985</c:v>
                      </c:pt>
                      <c:pt idx="9">
                        <c:v>4.5125499999999983</c:v>
                      </c:pt>
                      <c:pt idx="10">
                        <c:v>4.5141499999999981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DEB1-4371-BD77-13DA362B3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53280"/>
        <c:axId val="137954816"/>
      </c:lineChart>
      <c:catAx>
        <c:axId val="137806592"/>
        <c:scaling>
          <c:orientation val="minMax"/>
        </c:scaling>
        <c:delete val="0"/>
        <c:axPos val="b"/>
        <c:numFmt formatCode="0.00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37808128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3780812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37806592"/>
        <c:crosses val="autoZero"/>
        <c:crossBetween val="between"/>
      </c:valAx>
      <c:catAx>
        <c:axId val="137953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954816"/>
        <c:crosses val="autoZero"/>
        <c:auto val="0"/>
        <c:lblAlgn val="ctr"/>
        <c:lblOffset val="100"/>
        <c:noMultiLvlLbl val="0"/>
      </c:catAx>
      <c:valAx>
        <c:axId val="1379548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7953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>
      <c:oddHeader>&amp;A</c:oddHeader>
      <c:oddFooter>Pagina &amp;P</c:oddFooter>
    </c:headerFooter>
    <c:pageMargins b="1" l="0.75" r="0.75" t="1" header="0.5" footer="0.5"/>
    <c:pageSetup paperSize="9" orientation="landscape" horizont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74453197959103"/>
          <c:y val="7.1253199477646093E-2"/>
          <c:w val="0.63803760619069516"/>
          <c:h val="0.754301111711632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'data analysis'!$F$36</c:f>
              <c:strCache>
                <c:ptCount val="1"/>
                <c:pt idx="0">
                  <c:v>fa</c:v>
                </c:pt>
              </c:strCache>
            </c:strRef>
          </c:tx>
          <c:invertIfNegative val="0"/>
          <c:val>
            <c:numRef>
              <c:f>'data analysis'!$F$39:$F$43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B-41C9-8BBF-51FF3E4F5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7996160"/>
        <c:axId val="137997696"/>
      </c:barChart>
      <c:lineChart>
        <c:grouping val="standard"/>
        <c:varyColors val="0"/>
        <c:ser>
          <c:idx val="0"/>
          <c:order val="1"/>
          <c:tx>
            <c:strRef>
              <c:f>'data analysis'!$E$36</c:f>
              <c:strCache>
                <c:ptCount val="1"/>
                <c:pt idx="0">
                  <c:v>fat</c:v>
                </c:pt>
              </c:strCache>
            </c:strRef>
          </c:tx>
          <c:marker>
            <c:symbol val="none"/>
          </c:marker>
          <c:val>
            <c:numRef>
              <c:f>'data analysis'!$E$39:$E$43</c:f>
              <c:numCache>
                <c:formatCode>0.0</c:formatCode>
                <c:ptCount val="5"/>
                <c:pt idx="0">
                  <c:v>0.48412589513813969</c:v>
                </c:pt>
                <c:pt idx="1">
                  <c:v>3.3365191809200692</c:v>
                </c:pt>
                <c:pt idx="2">
                  <c:v>6.3209127029979397</c:v>
                </c:pt>
                <c:pt idx="3">
                  <c:v>3.3365191809200692</c:v>
                </c:pt>
                <c:pt idx="4">
                  <c:v>0.48412589513813931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analysis'!#REF!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6BB-41C9-8BBF-51FF3E4F5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03584"/>
        <c:axId val="138005120"/>
      </c:lineChart>
      <c:catAx>
        <c:axId val="137996160"/>
        <c:scaling>
          <c:orientation val="minMax"/>
        </c:scaling>
        <c:delete val="0"/>
        <c:axPos val="b"/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379976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3799769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37996160"/>
        <c:crosses val="autoZero"/>
        <c:crossBetween val="between"/>
      </c:valAx>
      <c:catAx>
        <c:axId val="138003584"/>
        <c:scaling>
          <c:orientation val="minMax"/>
        </c:scaling>
        <c:delete val="1"/>
        <c:axPos val="b"/>
        <c:numFmt formatCode="0.00000" sourceLinked="1"/>
        <c:majorTickMark val="out"/>
        <c:minorTickMark val="none"/>
        <c:tickLblPos val="nextTo"/>
        <c:crossAx val="138005120"/>
        <c:crosses val="autoZero"/>
        <c:auto val="0"/>
        <c:lblAlgn val="ctr"/>
        <c:lblOffset val="100"/>
        <c:noMultiLvlLbl val="0"/>
      </c:catAx>
      <c:valAx>
        <c:axId val="138005120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138003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931472548982225"/>
          <c:y val="0.17078953793566501"/>
          <c:w val="0.24675351944643287"/>
          <c:h val="0.108280254777070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>
      <c:oddHeader>&amp;A</c:oddHeader>
      <c:oddFooter>Pagina &amp;P</c:oddFooter>
    </c:headerFooter>
    <c:pageMargins b="1" l="0.75" r="0.75" t="1" header="0.5" footer="0.5"/>
    <c:pageSetup paperSize="9" orientation="landscape" horizontalDpi="0"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647699</xdr:colOff>
      <xdr:row>12</xdr:row>
      <xdr:rowOff>35719</xdr:rowOff>
    </xdr:from>
    <xdr:ext cx="62241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E299467-0330-4D0A-984C-45E0B11B654D}"/>
                </a:ext>
              </a:extLst>
            </xdr:cNvPr>
            <xdr:cNvSpPr txBox="1"/>
          </xdr:nvSpPr>
          <xdr:spPr>
            <a:xfrm>
              <a:off x="2886074" y="2112169"/>
              <a:ext cx="6224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 kern="1200">
                        <a:latin typeface="Cambria Math" panose="02040503050406030204" pitchFamily="18" charset="0"/>
                      </a:rPr>
                      <m:t>𝐴</m:t>
                    </m:r>
                    <m:r>
                      <a:rPr lang="it-IT" sz="11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1100" b="0" i="1" kern="1200">
                        <a:latin typeface="Cambria Math" panose="02040503050406030204" pitchFamily="18" charset="0"/>
                      </a:rPr>
                      <m:t>𝑏</m:t>
                    </m:r>
                    <m:r>
                      <a:rPr lang="it-IT" sz="1100" b="0" i="1" kern="1200">
                        <a:latin typeface="Cambria Math" panose="02040503050406030204" pitchFamily="18" charset="0"/>
                      </a:rPr>
                      <m:t> ∗</m:t>
                    </m:r>
                    <m:r>
                      <a:rPr lang="it-IT" sz="1100" b="0" i="1" kern="1200">
                        <a:latin typeface="Cambria Math" panose="02040503050406030204" pitchFamily="18" charset="0"/>
                      </a:rPr>
                      <m:t>h</m:t>
                    </m:r>
                  </m:oMath>
                </m:oMathPara>
              </a14:m>
              <a:endParaRPr lang="it-IT" sz="11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E299467-0330-4D0A-984C-45E0B11B654D}"/>
                </a:ext>
              </a:extLst>
            </xdr:cNvPr>
            <xdr:cNvSpPr txBox="1"/>
          </xdr:nvSpPr>
          <xdr:spPr>
            <a:xfrm>
              <a:off x="2886074" y="2112169"/>
              <a:ext cx="6224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0" i="0" kern="1200">
                  <a:latin typeface="Cambria Math" panose="02040503050406030204" pitchFamily="18" charset="0"/>
                </a:rPr>
                <a:t>𝐴=𝑏 ∗ℎ</a:t>
              </a:r>
              <a:endParaRPr lang="it-IT" sz="1100" kern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0</xdr:rowOff>
    </xdr:from>
    <xdr:to>
      <xdr:col>6</xdr:col>
      <xdr:colOff>95250</xdr:colOff>
      <xdr:row>0</xdr:row>
      <xdr:rowOff>0</xdr:rowOff>
    </xdr:to>
    <xdr:graphicFrame macro="">
      <xdr:nvGraphicFramePr>
        <xdr:cNvPr id="2" name="Grafico 6">
          <a:extLst>
            <a:ext uri="{FF2B5EF4-FFF2-40B4-BE49-F238E27FC236}">
              <a16:creationId xmlns:a16="http://schemas.microsoft.com/office/drawing/2014/main" id="{83D242E6-5B26-4693-ABFF-D28438D40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14</xdr:row>
      <xdr:rowOff>57150</xdr:rowOff>
    </xdr:from>
    <xdr:to>
      <xdr:col>6</xdr:col>
      <xdr:colOff>123825</xdr:colOff>
      <xdr:row>32</xdr:row>
      <xdr:rowOff>133350</xdr:rowOff>
    </xdr:to>
    <xdr:graphicFrame macro="">
      <xdr:nvGraphicFramePr>
        <xdr:cNvPr id="3" name="Grafico 8">
          <a:extLst>
            <a:ext uri="{FF2B5EF4-FFF2-40B4-BE49-F238E27FC236}">
              <a16:creationId xmlns:a16="http://schemas.microsoft.com/office/drawing/2014/main" id="{8FCFCCB0-1E7B-4FD6-9BB2-6C9067C59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168F-8CA3-4B22-BB20-3D3B29EB85D0}">
  <dimension ref="A1:V51"/>
  <sheetViews>
    <sheetView zoomScale="115" zoomScaleNormal="115" workbookViewId="0">
      <selection activeCell="O5" sqref="O5"/>
    </sheetView>
  </sheetViews>
  <sheetFormatPr defaultRowHeight="13.15" x14ac:dyDescent="0.4"/>
  <cols>
    <col min="1" max="1" width="9.06640625" style="32"/>
    <col min="2" max="2" width="22.265625" style="32" customWidth="1"/>
    <col min="3" max="3" width="16.9296875" style="32" customWidth="1"/>
    <col min="4" max="4" width="11.06640625" style="32" customWidth="1"/>
    <col min="5" max="5" width="9.9296875" style="32" customWidth="1"/>
    <col min="6" max="6" width="10.3984375" style="32" customWidth="1"/>
    <col min="7" max="7" width="10.796875" style="32" bestFit="1" customWidth="1"/>
    <col min="8" max="8" width="9.06640625" style="32"/>
    <col min="9" max="9" width="9.796875" style="32" customWidth="1"/>
    <col min="10" max="10" width="9.06640625" style="32"/>
    <col min="11" max="11" width="13.6640625" style="32" bestFit="1" customWidth="1"/>
    <col min="12" max="13" width="13.6640625" style="32" customWidth="1"/>
    <col min="14" max="14" width="9.06640625" style="32"/>
    <col min="15" max="15" width="8.9296875" style="32" bestFit="1" customWidth="1"/>
    <col min="16" max="16" width="9.06640625" style="32"/>
    <col min="17" max="17" width="9.9296875" style="32" customWidth="1"/>
    <col min="18" max="16384" width="9.06640625" style="32"/>
  </cols>
  <sheetData>
    <row r="1" spans="1:18" ht="17.25" x14ac:dyDescent="0.45">
      <c r="A1" s="61" t="s">
        <v>85</v>
      </c>
    </row>
    <row r="2" spans="1:18" ht="15" x14ac:dyDescent="0.4">
      <c r="A2" s="62" t="s">
        <v>86</v>
      </c>
    </row>
    <row r="3" spans="1:18" x14ac:dyDescent="0.4">
      <c r="A3" s="63" t="s">
        <v>87</v>
      </c>
      <c r="B3" s="63"/>
      <c r="C3" s="63" t="s">
        <v>88</v>
      </c>
      <c r="D3" s="150" t="s">
        <v>89</v>
      </c>
      <c r="E3" s="150"/>
      <c r="F3" s="150"/>
      <c r="G3" s="64" t="s">
        <v>90</v>
      </c>
      <c r="H3" s="63" t="s">
        <v>91</v>
      </c>
      <c r="I3" s="32" t="s">
        <v>92</v>
      </c>
      <c r="J3" s="158">
        <f>O20</f>
        <v>2.5980762212030855</v>
      </c>
      <c r="K3" s="32" t="s">
        <v>93</v>
      </c>
      <c r="L3" s="140">
        <f>J3*0.001</f>
        <v>2.5980762212030853E-3</v>
      </c>
      <c r="M3" s="32" t="s">
        <v>21</v>
      </c>
      <c r="N3" s="32" t="s">
        <v>94</v>
      </c>
      <c r="O3" s="158">
        <f>O21</f>
        <v>2.700000010236181</v>
      </c>
      <c r="P3" s="32" t="s">
        <v>93</v>
      </c>
      <c r="Q3" s="140">
        <f>O3*0.001</f>
        <v>2.700000010236181E-3</v>
      </c>
      <c r="R3" s="32" t="s">
        <v>21</v>
      </c>
    </row>
    <row r="4" spans="1:18" x14ac:dyDescent="0.4">
      <c r="A4" s="32" t="s">
        <v>91</v>
      </c>
      <c r="C4" s="32" t="s">
        <v>95</v>
      </c>
      <c r="E4" s="32">
        <v>1</v>
      </c>
      <c r="F4" s="65" t="s">
        <v>93</v>
      </c>
      <c r="G4" s="64"/>
      <c r="H4" s="63" t="s">
        <v>96</v>
      </c>
      <c r="I4" s="32" t="s">
        <v>92</v>
      </c>
      <c r="J4" s="158">
        <f>O22</f>
        <v>1.154700535463913</v>
      </c>
      <c r="K4" s="32" t="s">
        <v>93</v>
      </c>
      <c r="L4" s="140">
        <f>J4*0.001</f>
        <v>1.1547005354639131E-3</v>
      </c>
      <c r="M4" s="32" t="s">
        <v>21</v>
      </c>
      <c r="N4" s="32" t="s">
        <v>97</v>
      </c>
      <c r="O4" s="158">
        <f>O23</f>
        <v>23.094010709278258</v>
      </c>
      <c r="P4" s="32" t="s">
        <v>93</v>
      </c>
      <c r="Q4" s="140">
        <f>O4*0.001</f>
        <v>2.3094010709278259E-2</v>
      </c>
      <c r="R4" s="32" t="s">
        <v>21</v>
      </c>
    </row>
    <row r="5" spans="1:18" x14ac:dyDescent="0.4">
      <c r="C5" s="32" t="s">
        <v>98</v>
      </c>
      <c r="E5" s="32">
        <v>0.3</v>
      </c>
      <c r="F5" s="32" t="s">
        <v>93</v>
      </c>
      <c r="G5" s="66" t="s">
        <v>99</v>
      </c>
      <c r="I5" s="32" t="s">
        <v>100</v>
      </c>
      <c r="J5" s="159">
        <f>M26</f>
        <v>23.424488555213234</v>
      </c>
      <c r="K5" s="32" t="s">
        <v>101</v>
      </c>
      <c r="L5" s="140">
        <f>J5*0.000001</f>
        <v>2.3424488555213234E-5</v>
      </c>
      <c r="M5" s="32" t="s">
        <v>102</v>
      </c>
      <c r="N5" s="32" t="s">
        <v>103</v>
      </c>
      <c r="O5" s="159">
        <f>M30</f>
        <v>38.529854959525721</v>
      </c>
      <c r="P5" s="32" t="s">
        <v>101</v>
      </c>
      <c r="Q5" s="140">
        <f>O5*0.000001</f>
        <v>3.8529854959525719E-5</v>
      </c>
      <c r="R5" s="32" t="s">
        <v>102</v>
      </c>
    </row>
    <row r="6" spans="1:18" x14ac:dyDescent="0.4">
      <c r="C6" s="32" t="s">
        <v>13</v>
      </c>
      <c r="E6" s="32">
        <v>20</v>
      </c>
      <c r="F6" s="32" t="s">
        <v>93</v>
      </c>
      <c r="G6" s="64" t="s">
        <v>104</v>
      </c>
      <c r="H6" s="32" t="s">
        <v>105</v>
      </c>
      <c r="I6" s="67" t="str">
        <f>C20</f>
        <v>resolution</v>
      </c>
      <c r="J6" s="32" t="s">
        <v>106</v>
      </c>
    </row>
    <row r="7" spans="1:18" x14ac:dyDescent="0.4">
      <c r="E7" s="48"/>
      <c r="F7" s="68"/>
      <c r="G7" s="66" t="s">
        <v>107</v>
      </c>
      <c r="H7" s="32" t="s">
        <v>108</v>
      </c>
      <c r="I7" s="32" t="str">
        <f>C23</f>
        <v>accuracy</v>
      </c>
      <c r="J7" s="32" t="s">
        <v>106</v>
      </c>
    </row>
    <row r="8" spans="1:18" x14ac:dyDescent="0.4">
      <c r="A8" s="32" t="s">
        <v>96</v>
      </c>
      <c r="C8" s="32" t="s">
        <v>95</v>
      </c>
      <c r="E8" s="32">
        <v>0.2</v>
      </c>
      <c r="F8" s="65" t="s">
        <v>93</v>
      </c>
    </row>
    <row r="9" spans="1:18" x14ac:dyDescent="0.4">
      <c r="C9" s="32" t="s">
        <v>109</v>
      </c>
      <c r="E9" s="32">
        <v>2</v>
      </c>
      <c r="F9" s="32" t="s">
        <v>93</v>
      </c>
    </row>
    <row r="10" spans="1:18" x14ac:dyDescent="0.4">
      <c r="C10" s="32" t="s">
        <v>110</v>
      </c>
      <c r="E10" s="32">
        <v>9</v>
      </c>
      <c r="F10" s="32" t="s">
        <v>93</v>
      </c>
    </row>
    <row r="13" spans="1:18" x14ac:dyDescent="0.4">
      <c r="A13" s="69"/>
    </row>
    <row r="14" spans="1:18" x14ac:dyDescent="0.4">
      <c r="A14" s="63" t="s">
        <v>111</v>
      </c>
    </row>
    <row r="17" spans="1:22" ht="13.5" thickBot="1" x14ac:dyDescent="0.45"/>
    <row r="18" spans="1:22" ht="15.75" x14ac:dyDescent="0.55000000000000004">
      <c r="A18" s="151" t="s">
        <v>112</v>
      </c>
      <c r="B18" s="152"/>
      <c r="C18" s="153"/>
      <c r="D18" s="151" t="s">
        <v>113</v>
      </c>
      <c r="E18" s="152"/>
      <c r="F18" s="152"/>
      <c r="G18" s="152"/>
      <c r="H18" s="154"/>
      <c r="I18" s="155" t="s">
        <v>114</v>
      </c>
      <c r="J18" s="156"/>
      <c r="K18" s="70"/>
      <c r="L18" s="71"/>
      <c r="M18" s="71"/>
      <c r="N18" s="72"/>
    </row>
    <row r="19" spans="1:22" ht="15.75" x14ac:dyDescent="0.55000000000000004">
      <c r="A19" s="73" t="s">
        <v>115</v>
      </c>
      <c r="B19" s="74" t="s">
        <v>89</v>
      </c>
      <c r="C19" s="75" t="s">
        <v>116</v>
      </c>
      <c r="D19" s="76" t="s">
        <v>117</v>
      </c>
      <c r="E19" s="77" t="s">
        <v>118</v>
      </c>
      <c r="F19" s="78" t="s">
        <v>119</v>
      </c>
      <c r="G19" s="77" t="s">
        <v>120</v>
      </c>
      <c r="H19" s="79" t="s">
        <v>121</v>
      </c>
      <c r="I19" s="80" t="s">
        <v>122</v>
      </c>
      <c r="J19" s="81" t="s">
        <v>123</v>
      </c>
      <c r="K19" s="82" t="s">
        <v>124</v>
      </c>
      <c r="L19" s="80" t="s">
        <v>125</v>
      </c>
      <c r="M19" s="83" t="s">
        <v>126</v>
      </c>
      <c r="N19" s="84" t="s">
        <v>127</v>
      </c>
      <c r="O19" s="83" t="s">
        <v>128</v>
      </c>
    </row>
    <row r="20" spans="1:22" x14ac:dyDescent="0.4">
      <c r="A20" s="85" t="s">
        <v>129</v>
      </c>
      <c r="B20" s="86">
        <f>E6</f>
        <v>20</v>
      </c>
      <c r="C20" s="87" t="s">
        <v>95</v>
      </c>
      <c r="D20" s="88"/>
      <c r="E20" s="89"/>
      <c r="F20" s="90"/>
      <c r="G20" s="91"/>
      <c r="H20" s="92"/>
      <c r="I20" s="93">
        <f>E4/2</f>
        <v>0.5</v>
      </c>
      <c r="J20" s="94">
        <v>3</v>
      </c>
      <c r="K20" s="95">
        <f>(H20^2+I20^2/J20)</f>
        <v>8.3333333333333329E-2</v>
      </c>
      <c r="L20" s="93">
        <f>F33</f>
        <v>9.0000000341206032</v>
      </c>
      <c r="M20" s="96">
        <f>L20^2*K20</f>
        <v>6.7500000511809048</v>
      </c>
      <c r="N20" s="97">
        <f>RANK(M20,$M$20:$M$23)</f>
        <v>3</v>
      </c>
      <c r="O20" s="34">
        <f>SQRT(M20)</f>
        <v>2.5980762212030855</v>
      </c>
    </row>
    <row r="21" spans="1:22" x14ac:dyDescent="0.4">
      <c r="A21" s="85"/>
      <c r="B21" s="86"/>
      <c r="C21" s="90" t="s">
        <v>130</v>
      </c>
      <c r="D21" s="88"/>
      <c r="E21" s="89"/>
      <c r="F21" s="90"/>
      <c r="G21" s="91"/>
      <c r="H21" s="92">
        <f>E5</f>
        <v>0.3</v>
      </c>
      <c r="I21" s="93"/>
      <c r="J21" s="94">
        <v>3</v>
      </c>
      <c r="K21" s="95">
        <f>(H21^2+I21^2/J21)</f>
        <v>0.09</v>
      </c>
      <c r="L21" s="93">
        <f>L20</f>
        <v>9.0000000341206032</v>
      </c>
      <c r="M21" s="96">
        <f>L21^2*K21</f>
        <v>7.2900000552753772</v>
      </c>
      <c r="N21" s="98">
        <f>RANK(M21,$M$20:$M$23)</f>
        <v>2</v>
      </c>
      <c r="O21" s="34">
        <f>SQRT(M21)</f>
        <v>2.700000010236181</v>
      </c>
    </row>
    <row r="22" spans="1:22" x14ac:dyDescent="0.4">
      <c r="A22" s="85" t="s">
        <v>106</v>
      </c>
      <c r="B22" s="86">
        <f>E10</f>
        <v>9</v>
      </c>
      <c r="C22" s="87" t="s">
        <v>95</v>
      </c>
      <c r="D22" s="88"/>
      <c r="E22" s="89"/>
      <c r="F22" s="90"/>
      <c r="G22" s="91"/>
      <c r="H22" s="92"/>
      <c r="I22" s="93">
        <f>E8/2</f>
        <v>0.1</v>
      </c>
      <c r="J22" s="94">
        <v>3</v>
      </c>
      <c r="K22" s="95">
        <f>(H22^2+I22^2/J22)</f>
        <v>3.333333333333334E-3</v>
      </c>
      <c r="L22" s="93">
        <f>F34</f>
        <v>19.999999949504854</v>
      </c>
      <c r="M22" s="96">
        <f>L22^2*K22</f>
        <v>1.3333333266006475</v>
      </c>
      <c r="N22" s="99">
        <f>RANK(M22,$M$20:$M$23)</f>
        <v>4</v>
      </c>
      <c r="O22" s="34">
        <f>SQRT(M22)</f>
        <v>1.154700535463913</v>
      </c>
    </row>
    <row r="23" spans="1:22" x14ac:dyDescent="0.4">
      <c r="A23" s="85"/>
      <c r="B23" s="86"/>
      <c r="C23" s="100" t="s">
        <v>131</v>
      </c>
      <c r="D23" s="88"/>
      <c r="E23" s="89"/>
      <c r="F23" s="90"/>
      <c r="G23" s="91"/>
      <c r="H23" s="92"/>
      <c r="I23" s="93">
        <f>E9</f>
        <v>2</v>
      </c>
      <c r="J23" s="94">
        <v>3</v>
      </c>
      <c r="K23" s="95">
        <f>(H23^2+I23^2/J23)</f>
        <v>1.3333333333333333</v>
      </c>
      <c r="L23" s="93">
        <f>L22</f>
        <v>19.999999949504854</v>
      </c>
      <c r="M23" s="96">
        <f>L23^2*K23</f>
        <v>533.33333064025885</v>
      </c>
      <c r="N23" s="101">
        <f>RANK(M23,$M$20:$M$23)</f>
        <v>1</v>
      </c>
      <c r="O23" s="34">
        <f>SQRT(M23)</f>
        <v>23.094010709278258</v>
      </c>
    </row>
    <row r="24" spans="1:22" ht="13.5" thickBot="1" x14ac:dyDescent="0.45">
      <c r="A24" s="102"/>
      <c r="B24" s="103"/>
      <c r="C24" s="104"/>
      <c r="D24" s="105"/>
      <c r="E24" s="106"/>
      <c r="F24" s="106"/>
      <c r="G24" s="106"/>
      <c r="H24" s="107"/>
      <c r="I24" s="108"/>
      <c r="J24" s="109"/>
      <c r="K24" s="110"/>
      <c r="L24" s="111"/>
      <c r="M24" s="111"/>
      <c r="N24" s="112"/>
    </row>
    <row r="25" spans="1:22" x14ac:dyDescent="0.4">
      <c r="A25" s="113" t="s">
        <v>132</v>
      </c>
      <c r="B25" s="143">
        <f>(B20*B22)</f>
        <v>180</v>
      </c>
      <c r="C25" s="114" t="s">
        <v>101</v>
      </c>
      <c r="D25" s="115"/>
      <c r="E25" s="115"/>
      <c r="F25" s="115"/>
      <c r="G25" s="115"/>
      <c r="H25" s="116" t="s">
        <v>133</v>
      </c>
      <c r="I25" s="115"/>
      <c r="K25" s="117"/>
      <c r="L25" s="118"/>
      <c r="M25" s="96">
        <f>SUM(M20:M24)</f>
        <v>548.70666407331578</v>
      </c>
      <c r="N25" s="96"/>
      <c r="U25" s="119"/>
      <c r="V25" s="119"/>
    </row>
    <row r="26" spans="1:22" x14ac:dyDescent="0.4">
      <c r="A26" s="38"/>
      <c r="B26" s="38"/>
      <c r="C26" s="38"/>
      <c r="D26" s="38"/>
      <c r="E26" s="38"/>
      <c r="F26" s="38"/>
      <c r="G26" s="38"/>
      <c r="H26" s="116" t="s">
        <v>134</v>
      </c>
      <c r="I26" s="38"/>
      <c r="K26" s="83"/>
      <c r="L26" s="120"/>
      <c r="M26" s="121">
        <f>SQRT(M25)</f>
        <v>23.424488555213234</v>
      </c>
      <c r="U26" s="119"/>
      <c r="V26" s="122"/>
    </row>
    <row r="27" spans="1:22" x14ac:dyDescent="0.4">
      <c r="A27" s="123"/>
      <c r="B27" s="124"/>
      <c r="C27" s="124"/>
      <c r="D27" s="124"/>
      <c r="E27" s="124"/>
      <c r="F27" s="124"/>
      <c r="G27" s="124"/>
      <c r="H27" s="125"/>
      <c r="I27" s="124"/>
      <c r="K27" s="83"/>
      <c r="L27" s="120"/>
      <c r="M27" s="126"/>
      <c r="U27" s="122"/>
      <c r="V27" s="122"/>
    </row>
    <row r="28" spans="1:22" x14ac:dyDescent="0.4">
      <c r="A28" s="124"/>
      <c r="B28" s="124"/>
      <c r="C28" s="124"/>
      <c r="D28" s="124"/>
      <c r="E28" s="124"/>
      <c r="F28" s="124"/>
      <c r="G28" s="124"/>
      <c r="H28" s="120" t="s">
        <v>37</v>
      </c>
      <c r="I28" s="124"/>
      <c r="K28" s="120"/>
      <c r="L28" s="120"/>
      <c r="M28" s="127">
        <v>0.9</v>
      </c>
    </row>
    <row r="29" spans="1:22" x14ac:dyDescent="0.4">
      <c r="A29" s="124"/>
      <c r="B29" s="124"/>
      <c r="C29" s="124"/>
      <c r="D29" s="124"/>
      <c r="E29" s="124"/>
      <c r="F29" s="124"/>
      <c r="G29" s="124"/>
      <c r="H29" s="120" t="s">
        <v>135</v>
      </c>
      <c r="I29" s="124"/>
      <c r="K29" s="120"/>
      <c r="L29" s="120">
        <v>2</v>
      </c>
      <c r="M29" s="128">
        <f>_xlfn.NORM.S.INV(M28+(1-M28)/2)</f>
        <v>1.6448536269514715</v>
      </c>
      <c r="U29" s="129"/>
    </row>
    <row r="30" spans="1:22" x14ac:dyDescent="0.4">
      <c r="A30" s="124"/>
      <c r="B30" s="124"/>
      <c r="C30" s="124"/>
      <c r="D30" s="124"/>
      <c r="E30" s="124"/>
      <c r="F30" s="124"/>
      <c r="G30" s="124"/>
      <c r="H30" s="120" t="s">
        <v>136</v>
      </c>
      <c r="I30" s="124"/>
      <c r="K30" s="120"/>
      <c r="L30" s="130">
        <f>M26*2</f>
        <v>46.848977110426468</v>
      </c>
      <c r="M30" s="121">
        <f>M26*M29</f>
        <v>38.529854959525721</v>
      </c>
      <c r="N30" s="131" t="s">
        <v>101</v>
      </c>
      <c r="U30" s="119"/>
    </row>
    <row r="31" spans="1:22" ht="13.5" thickBot="1" x14ac:dyDescent="0.45">
      <c r="A31" s="132" t="s">
        <v>137</v>
      </c>
      <c r="B31" s="128"/>
      <c r="C31" s="38"/>
      <c r="D31" s="38"/>
      <c r="E31" s="38"/>
      <c r="F31" s="38"/>
      <c r="G31" s="38"/>
      <c r="H31" s="119"/>
      <c r="I31" s="124"/>
    </row>
    <row r="32" spans="1:22" ht="15" x14ac:dyDescent="0.5">
      <c r="B32" s="133" t="s">
        <v>138</v>
      </c>
      <c r="C32" s="134" t="s">
        <v>139</v>
      </c>
      <c r="D32" s="134" t="s">
        <v>140</v>
      </c>
      <c r="E32" s="133" t="s">
        <v>141</v>
      </c>
      <c r="F32" s="133" t="s">
        <v>142</v>
      </c>
      <c r="G32" s="135" t="s">
        <v>143</v>
      </c>
      <c r="H32" s="53"/>
      <c r="I32" s="124"/>
      <c r="J32" s="124"/>
      <c r="K32" s="124"/>
      <c r="L32" s="124"/>
      <c r="M32" s="124"/>
    </row>
    <row r="33" spans="1:19" ht="13.5" thickBot="1" x14ac:dyDescent="0.45">
      <c r="A33" s="32" t="str">
        <f>A20</f>
        <v>b</v>
      </c>
      <c r="B33" s="128">
        <v>9.9999999999999995E-8</v>
      </c>
      <c r="C33" s="136">
        <f>B20+B33</f>
        <v>20.000000100000001</v>
      </c>
      <c r="D33" s="136">
        <f>(C33*B22)</f>
        <v>180.0000009</v>
      </c>
      <c r="E33" s="119">
        <f t="shared" ref="E33:E34" si="0">D33-$B$25</f>
        <v>9.0000000341206032E-7</v>
      </c>
      <c r="F33" s="119">
        <f t="shared" ref="F33:F34" si="1">IF(D33&lt;&gt;0,E33/B33,1/0)</f>
        <v>9.0000000341206032</v>
      </c>
      <c r="G33" s="137">
        <f>B22</f>
        <v>9</v>
      </c>
      <c r="H33" s="55" t="s">
        <v>106</v>
      </c>
      <c r="I33" s="38"/>
    </row>
    <row r="34" spans="1:19" ht="13.5" thickBot="1" x14ac:dyDescent="0.45">
      <c r="A34" s="32" t="s">
        <v>106</v>
      </c>
      <c r="B34" s="128">
        <v>9.9999999999999995E-8</v>
      </c>
      <c r="C34" s="136">
        <f>B22+B34</f>
        <v>9.0000000999999994</v>
      </c>
      <c r="D34" s="136">
        <f>(B20*C34)</f>
        <v>180.00000199999999</v>
      </c>
      <c r="E34" s="119">
        <f t="shared" si="0"/>
        <v>1.9999999949504854E-6</v>
      </c>
      <c r="F34" s="119">
        <f t="shared" si="1"/>
        <v>19.999999949504854</v>
      </c>
      <c r="G34" s="138">
        <f>B20</f>
        <v>20</v>
      </c>
      <c r="H34" s="58" t="s">
        <v>129</v>
      </c>
      <c r="I34" s="38"/>
      <c r="J34" s="144" t="s">
        <v>144</v>
      </c>
      <c r="K34" s="145"/>
      <c r="L34" s="145"/>
      <c r="M34" s="145"/>
      <c r="N34" s="145"/>
      <c r="O34" s="145"/>
      <c r="P34" s="145"/>
      <c r="Q34" s="145"/>
      <c r="R34" s="145"/>
      <c r="S34" s="146"/>
    </row>
    <row r="35" spans="1:19" ht="13.5" thickBot="1" x14ac:dyDescent="0.45">
      <c r="J35" s="147" t="s">
        <v>145</v>
      </c>
      <c r="K35" s="148"/>
      <c r="L35" s="148"/>
      <c r="M35" s="148"/>
      <c r="N35" s="148"/>
      <c r="O35" s="148"/>
      <c r="P35" s="148"/>
      <c r="Q35" s="148"/>
      <c r="R35" s="148"/>
      <c r="S35" s="149"/>
    </row>
    <row r="36" spans="1:19" ht="13.5" thickBot="1" x14ac:dyDescent="0.45"/>
    <row r="37" spans="1:19" x14ac:dyDescent="0.4">
      <c r="J37" s="144" t="s">
        <v>146</v>
      </c>
      <c r="K37" s="145"/>
      <c r="L37" s="145"/>
      <c r="M37" s="145"/>
      <c r="N37" s="145"/>
      <c r="O37" s="145"/>
      <c r="P37" s="145"/>
      <c r="Q37" s="145"/>
      <c r="R37" s="145"/>
      <c r="S37" s="146"/>
    </row>
    <row r="38" spans="1:19" ht="13.5" thickBot="1" x14ac:dyDescent="0.45">
      <c r="B38" s="128"/>
      <c r="C38" s="136"/>
      <c r="D38" s="136"/>
      <c r="E38" s="119"/>
      <c r="F38" s="119"/>
      <c r="J38" s="147" t="s">
        <v>147</v>
      </c>
      <c r="K38" s="148"/>
      <c r="L38" s="148"/>
      <c r="M38" s="148"/>
      <c r="N38" s="148"/>
      <c r="O38" s="148"/>
      <c r="P38" s="148"/>
      <c r="Q38" s="148"/>
      <c r="R38" s="148"/>
      <c r="S38" s="149"/>
    </row>
    <row r="39" spans="1:19" x14ac:dyDescent="0.4">
      <c r="B39" s="128"/>
      <c r="C39" s="136"/>
      <c r="D39" s="136"/>
      <c r="E39" s="119"/>
      <c r="F39" s="119"/>
    </row>
    <row r="40" spans="1:19" x14ac:dyDescent="0.4">
      <c r="B40" s="128"/>
      <c r="C40" s="136"/>
      <c r="D40" s="136"/>
      <c r="E40" s="119"/>
      <c r="F40" s="119"/>
      <c r="J40" s="139"/>
      <c r="K40" s="139"/>
      <c r="L40" s="139"/>
      <c r="M40" s="139"/>
      <c r="N40" s="139"/>
      <c r="O40" s="139"/>
      <c r="P40" s="139"/>
      <c r="Q40" s="139"/>
      <c r="R40" s="139"/>
      <c r="S40" s="139"/>
    </row>
    <row r="41" spans="1:19" x14ac:dyDescent="0.4">
      <c r="B41" s="128"/>
      <c r="C41" s="136"/>
      <c r="D41" s="136"/>
      <c r="E41" s="119"/>
      <c r="F41" s="119"/>
      <c r="J41" s="139"/>
      <c r="K41" s="139"/>
      <c r="L41" s="139"/>
      <c r="M41" s="139"/>
      <c r="N41" s="139"/>
      <c r="O41" s="139"/>
      <c r="P41" s="139"/>
      <c r="Q41" s="139"/>
      <c r="R41" s="139"/>
      <c r="S41" s="139"/>
    </row>
    <row r="42" spans="1:19" x14ac:dyDescent="0.4">
      <c r="B42" s="128"/>
      <c r="C42" s="136"/>
      <c r="D42" s="136"/>
      <c r="E42" s="119"/>
      <c r="F42" s="119"/>
      <c r="J42" s="140"/>
    </row>
    <row r="43" spans="1:19" x14ac:dyDescent="0.4">
      <c r="J43" s="140"/>
    </row>
    <row r="44" spans="1:19" x14ac:dyDescent="0.4">
      <c r="J44" s="140"/>
    </row>
    <row r="45" spans="1:19" x14ac:dyDescent="0.4">
      <c r="J45" s="140"/>
    </row>
    <row r="46" spans="1:19" x14ac:dyDescent="0.4">
      <c r="J46" s="140"/>
    </row>
    <row r="47" spans="1:19" x14ac:dyDescent="0.4">
      <c r="J47" s="140"/>
    </row>
    <row r="48" spans="1:19" x14ac:dyDescent="0.4">
      <c r="J48" s="140"/>
    </row>
    <row r="49" spans="10:10" x14ac:dyDescent="0.4">
      <c r="J49" s="140"/>
    </row>
    <row r="50" spans="10:10" x14ac:dyDescent="0.4">
      <c r="J50" s="140"/>
    </row>
    <row r="51" spans="10:10" x14ac:dyDescent="0.4">
      <c r="J51" s="140"/>
    </row>
  </sheetData>
  <mergeCells count="8">
    <mergeCell ref="J37:S37"/>
    <mergeCell ref="J38:S38"/>
    <mergeCell ref="D3:F3"/>
    <mergeCell ref="A18:C18"/>
    <mergeCell ref="D18:H18"/>
    <mergeCell ref="I18:J18"/>
    <mergeCell ref="J34:S34"/>
    <mergeCell ref="J35:S35"/>
  </mergeCell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BD30-850B-4DEB-B98F-172FC0397058}">
  <dimension ref="A1:M49"/>
  <sheetViews>
    <sheetView zoomScale="115" zoomScaleNormal="115" workbookViewId="0">
      <selection activeCell="F19" sqref="F19"/>
    </sheetView>
  </sheetViews>
  <sheetFormatPr defaultColWidth="9" defaultRowHeight="13.15" x14ac:dyDescent="0.4"/>
  <cols>
    <col min="1" max="4" width="9" style="32"/>
    <col min="5" max="5" width="6" style="32" customWidth="1"/>
    <col min="6" max="6" width="8.73046875" style="32" customWidth="1"/>
    <col min="7" max="7" width="8.265625" style="32" bestFit="1" customWidth="1"/>
    <col min="8" max="8" width="6" style="32" customWidth="1"/>
    <col min="9" max="9" width="7.265625" style="32" customWidth="1"/>
    <col min="10" max="10" width="14.86328125" style="32" bestFit="1" customWidth="1"/>
    <col min="11" max="11" width="7.73046875" style="32" customWidth="1"/>
    <col min="12" max="12" width="7.3984375" style="32" customWidth="1"/>
    <col min="13" max="16384" width="9" style="32"/>
  </cols>
  <sheetData>
    <row r="1" spans="1:13" ht="14.25" x14ac:dyDescent="0.4">
      <c r="E1" s="33" t="s">
        <v>60</v>
      </c>
    </row>
    <row r="2" spans="1:13" ht="14.25" x14ac:dyDescent="0.4">
      <c r="E2" s="33" t="s">
        <v>43</v>
      </c>
    </row>
    <row r="3" spans="1:13" ht="14.25" x14ac:dyDescent="0.4">
      <c r="E3" s="33"/>
    </row>
    <row r="4" spans="1:13" ht="14.25" x14ac:dyDescent="0.4">
      <c r="E4" s="33" t="s">
        <v>61</v>
      </c>
    </row>
    <row r="5" spans="1:13" ht="14.25" x14ac:dyDescent="0.4">
      <c r="E5" s="33" t="s">
        <v>62</v>
      </c>
    </row>
    <row r="6" spans="1:13" ht="14.25" x14ac:dyDescent="0.4">
      <c r="E6" s="33" t="s">
        <v>63</v>
      </c>
    </row>
    <row r="7" spans="1:13" ht="14.25" x14ac:dyDescent="0.4">
      <c r="E7" s="33" t="s">
        <v>64</v>
      </c>
    </row>
    <row r="8" spans="1:13" ht="14.25" x14ac:dyDescent="0.4">
      <c r="E8" s="33"/>
    </row>
    <row r="9" spans="1:13" ht="14.25" x14ac:dyDescent="0.4">
      <c r="E9" s="33" t="s">
        <v>65</v>
      </c>
    </row>
    <row r="10" spans="1:13" ht="14.25" x14ac:dyDescent="0.4">
      <c r="E10" s="33" t="s">
        <v>72</v>
      </c>
    </row>
    <row r="11" spans="1:13" ht="14.25" x14ac:dyDescent="0.4">
      <c r="E11" s="33" t="s">
        <v>73</v>
      </c>
      <c r="H11" s="34"/>
    </row>
    <row r="12" spans="1:13" ht="14.25" x14ac:dyDescent="0.4">
      <c r="E12" s="33" t="s">
        <v>74</v>
      </c>
    </row>
    <row r="13" spans="1:13" ht="13.5" thickBot="1" x14ac:dyDescent="0.45">
      <c r="F13" s="32" t="s">
        <v>44</v>
      </c>
    </row>
    <row r="14" spans="1:13" x14ac:dyDescent="0.4">
      <c r="E14" s="35"/>
      <c r="F14" s="36" t="s">
        <v>45</v>
      </c>
      <c r="G14" s="36" t="s">
        <v>46</v>
      </c>
      <c r="H14" s="36" t="s">
        <v>47</v>
      </c>
      <c r="I14" s="36" t="s">
        <v>48</v>
      </c>
      <c r="J14" s="36" t="s">
        <v>49</v>
      </c>
      <c r="K14" s="37" t="s">
        <v>50</v>
      </c>
      <c r="L14" s="38"/>
    </row>
    <row r="15" spans="1:13" ht="13.5" thickBot="1" x14ac:dyDescent="0.45">
      <c r="A15" s="32" t="s">
        <v>20</v>
      </c>
      <c r="B15" s="39">
        <f>K15</f>
        <v>4.8374613003096013E-3</v>
      </c>
      <c r="E15" s="40" t="s">
        <v>20</v>
      </c>
      <c r="F15" s="41">
        <v>1</v>
      </c>
      <c r="G15" s="41">
        <v>5</v>
      </c>
      <c r="H15" s="41">
        <v>15</v>
      </c>
      <c r="I15" s="41">
        <v>20</v>
      </c>
      <c r="J15" s="41">
        <v>0</v>
      </c>
      <c r="K15" s="42">
        <f>_xlfn.HYPGEOM.DIST(F15,G15,H15,I15,J15)</f>
        <v>4.8374613003096013E-3</v>
      </c>
      <c r="L15" s="43"/>
      <c r="M15" s="38"/>
    </row>
    <row r="16" spans="1:13" x14ac:dyDescent="0.4">
      <c r="A16" s="32" t="s">
        <v>23</v>
      </c>
      <c r="B16" s="39">
        <f>K17</f>
        <v>0.44020897832817335</v>
      </c>
      <c r="E16" s="44"/>
      <c r="F16" s="36" t="s">
        <v>45</v>
      </c>
      <c r="G16" s="36" t="s">
        <v>46</v>
      </c>
      <c r="H16" s="36" t="s">
        <v>47</v>
      </c>
      <c r="I16" s="36" t="s">
        <v>48</v>
      </c>
      <c r="J16" s="36" t="s">
        <v>49</v>
      </c>
      <c r="K16" s="45" t="s">
        <v>50</v>
      </c>
      <c r="L16" s="43"/>
    </row>
    <row r="17" spans="1:13" ht="13.5" thickBot="1" x14ac:dyDescent="0.45">
      <c r="A17" s="32" t="s">
        <v>24</v>
      </c>
      <c r="B17" s="39">
        <f>K19</f>
        <v>0.3660990712074304</v>
      </c>
      <c r="E17" s="40" t="s">
        <v>23</v>
      </c>
      <c r="F17" s="41">
        <v>1</v>
      </c>
      <c r="G17" s="41">
        <v>5</v>
      </c>
      <c r="H17" s="41">
        <v>5</v>
      </c>
      <c r="I17" s="41">
        <v>20</v>
      </c>
      <c r="J17" s="41">
        <v>0</v>
      </c>
      <c r="K17" s="42">
        <f>_xlfn.HYPGEOM.DIST(F17,G17,H17,I17,J17)</f>
        <v>0.44020897832817335</v>
      </c>
      <c r="L17" s="43"/>
    </row>
    <row r="18" spans="1:13" x14ac:dyDescent="0.4">
      <c r="A18" s="32" t="s">
        <v>25</v>
      </c>
      <c r="B18" s="39">
        <f>K22</f>
        <v>2.4414062500000016E-4</v>
      </c>
      <c r="E18" s="44"/>
      <c r="F18" s="36" t="s">
        <v>45</v>
      </c>
      <c r="G18" s="36" t="s">
        <v>46</v>
      </c>
      <c r="H18" s="36" t="s">
        <v>47</v>
      </c>
      <c r="I18" s="36" t="s">
        <v>48</v>
      </c>
      <c r="J18" s="36" t="s">
        <v>49</v>
      </c>
      <c r="K18" s="45" t="s">
        <v>50</v>
      </c>
      <c r="L18" s="43"/>
    </row>
    <row r="19" spans="1:13" ht="13.5" thickBot="1" x14ac:dyDescent="0.45">
      <c r="A19" s="32" t="s">
        <v>26</v>
      </c>
      <c r="B19" s="39">
        <f>K24</f>
        <v>0.17797851562500003</v>
      </c>
      <c r="E19" s="40" t="s">
        <v>24</v>
      </c>
      <c r="F19" s="41">
        <v>3</v>
      </c>
      <c r="G19" s="41">
        <v>5</v>
      </c>
      <c r="H19" s="41">
        <v>15</v>
      </c>
      <c r="I19" s="41">
        <v>20</v>
      </c>
      <c r="J19" s="41">
        <v>1</v>
      </c>
      <c r="K19" s="42">
        <f>_xlfn.HYPGEOM.DIST(F19,G19,H19,I19,J19)</f>
        <v>0.3660990712074304</v>
      </c>
      <c r="L19" s="43"/>
    </row>
    <row r="20" spans="1:13" ht="13.5" thickBot="1" x14ac:dyDescent="0.45">
      <c r="A20" s="32" t="s">
        <v>27</v>
      </c>
      <c r="B20" s="39">
        <f>K26</f>
        <v>0.466064453125</v>
      </c>
      <c r="F20" s="38" t="s">
        <v>51</v>
      </c>
      <c r="G20" s="38"/>
      <c r="H20" s="38"/>
      <c r="I20" s="38"/>
      <c r="J20" s="38"/>
      <c r="K20" s="43"/>
      <c r="L20" s="43"/>
    </row>
    <row r="21" spans="1:13" x14ac:dyDescent="0.4">
      <c r="B21" s="39"/>
      <c r="E21" s="44"/>
      <c r="F21" s="36" t="s">
        <v>45</v>
      </c>
      <c r="G21" s="36" t="s">
        <v>46</v>
      </c>
      <c r="H21" s="36"/>
      <c r="I21" s="36" t="s">
        <v>50</v>
      </c>
      <c r="J21" s="36" t="s">
        <v>49</v>
      </c>
      <c r="K21" s="37" t="s">
        <v>50</v>
      </c>
    </row>
    <row r="22" spans="1:13" ht="13.5" thickBot="1" x14ac:dyDescent="0.45">
      <c r="B22" s="39"/>
      <c r="E22" s="40" t="s">
        <v>25</v>
      </c>
      <c r="F22" s="41">
        <v>0</v>
      </c>
      <c r="G22" s="41">
        <v>6</v>
      </c>
      <c r="H22" s="41"/>
      <c r="I22" s="59">
        <f>H15/I15</f>
        <v>0.75</v>
      </c>
      <c r="J22" s="41">
        <v>0</v>
      </c>
      <c r="K22" s="42">
        <f>_xlfn.BINOM.DIST(F22,G22,I22,J22)</f>
        <v>2.4414062500000016E-4</v>
      </c>
      <c r="L22" s="43"/>
    </row>
    <row r="23" spans="1:13" x14ac:dyDescent="0.4">
      <c r="B23" s="39"/>
      <c r="E23" s="44"/>
      <c r="F23" s="36" t="s">
        <v>45</v>
      </c>
      <c r="G23" s="36" t="s">
        <v>46</v>
      </c>
      <c r="H23" s="36"/>
      <c r="I23" s="36" t="s">
        <v>50</v>
      </c>
      <c r="J23" s="36" t="s">
        <v>49</v>
      </c>
      <c r="K23" s="45" t="s">
        <v>50</v>
      </c>
      <c r="L23" s="43"/>
    </row>
    <row r="24" spans="1:13" ht="13.5" thickBot="1" x14ac:dyDescent="0.45">
      <c r="B24" s="34"/>
      <c r="C24" s="34"/>
      <c r="D24" s="46"/>
      <c r="E24" s="40" t="s">
        <v>26</v>
      </c>
      <c r="F24" s="41">
        <v>6</v>
      </c>
      <c r="G24" s="41">
        <v>6</v>
      </c>
      <c r="H24" s="41"/>
      <c r="I24" s="60">
        <f>I22</f>
        <v>0.75</v>
      </c>
      <c r="J24" s="41">
        <v>0</v>
      </c>
      <c r="K24" s="42">
        <f>_xlfn.BINOM.DIST(F24,G24,I24,J24)</f>
        <v>0.17797851562500003</v>
      </c>
      <c r="L24" s="43"/>
      <c r="M24" s="38"/>
    </row>
    <row r="25" spans="1:13" x14ac:dyDescent="0.4">
      <c r="E25" s="44"/>
      <c r="F25" s="36" t="s">
        <v>45</v>
      </c>
      <c r="G25" s="36" t="s">
        <v>46</v>
      </c>
      <c r="H25" s="36"/>
      <c r="I25" s="36" t="s">
        <v>50</v>
      </c>
      <c r="J25" s="36" t="s">
        <v>49</v>
      </c>
      <c r="K25" s="45" t="s">
        <v>50</v>
      </c>
      <c r="L25" s="43"/>
      <c r="M25" s="38"/>
    </row>
    <row r="26" spans="1:13" ht="13.5" thickBot="1" x14ac:dyDescent="0.45">
      <c r="E26" s="40" t="s">
        <v>27</v>
      </c>
      <c r="F26" s="41">
        <v>4</v>
      </c>
      <c r="G26" s="41">
        <v>6</v>
      </c>
      <c r="H26" s="41"/>
      <c r="I26" s="60">
        <f>I24</f>
        <v>0.75</v>
      </c>
      <c r="J26" s="41">
        <v>1</v>
      </c>
      <c r="K26" s="42">
        <f>_xlfn.BINOM.DIST(F26,G26,I26,J26)</f>
        <v>0.466064453125</v>
      </c>
      <c r="L26" s="43"/>
      <c r="M26" s="38"/>
    </row>
    <row r="27" spans="1:13" x14ac:dyDescent="0.4">
      <c r="F27" s="38"/>
      <c r="G27" s="38"/>
      <c r="H27" s="38"/>
      <c r="I27" s="38"/>
      <c r="J27" s="38"/>
      <c r="K27" s="43"/>
      <c r="L27" s="47"/>
    </row>
    <row r="28" spans="1:13" x14ac:dyDescent="0.4">
      <c r="J28" s="48"/>
      <c r="K28" s="49"/>
      <c r="L28" s="38"/>
    </row>
    <row r="29" spans="1:13" ht="14.25" x14ac:dyDescent="0.45">
      <c r="F29" s="50"/>
      <c r="G29"/>
      <c r="H29"/>
      <c r="I29"/>
      <c r="J29"/>
      <c r="K29"/>
      <c r="L29"/>
    </row>
    <row r="30" spans="1:13" ht="15.75" x14ac:dyDescent="0.45">
      <c r="E30" s="51" t="s">
        <v>80</v>
      </c>
      <c r="G30"/>
      <c r="H30"/>
      <c r="I30"/>
      <c r="J30"/>
      <c r="K30"/>
      <c r="L30"/>
      <c r="M30"/>
    </row>
    <row r="31" spans="1:13" ht="14.25" x14ac:dyDescent="0.45">
      <c r="E31" s="51" t="s">
        <v>81</v>
      </c>
      <c r="G31"/>
      <c r="H31"/>
      <c r="I31"/>
      <c r="J31"/>
      <c r="K31"/>
      <c r="L31"/>
      <c r="M31"/>
    </row>
    <row r="32" spans="1:13" ht="14.25" x14ac:dyDescent="0.45">
      <c r="E32" s="51" t="s">
        <v>82</v>
      </c>
    </row>
    <row r="33" spans="5:8" ht="14.25" x14ac:dyDescent="0.45">
      <c r="E33" s="51" t="s">
        <v>83</v>
      </c>
    </row>
    <row r="34" spans="5:8" ht="13.5" thickBot="1" x14ac:dyDescent="0.45"/>
    <row r="35" spans="5:8" x14ac:dyDescent="0.4">
      <c r="E35" s="44" t="s">
        <v>79</v>
      </c>
      <c r="F35" s="52" t="s">
        <v>52</v>
      </c>
      <c r="G35" s="52">
        <v>3.5</v>
      </c>
      <c r="H35" s="53" t="s">
        <v>75</v>
      </c>
    </row>
    <row r="36" spans="5:8" x14ac:dyDescent="0.4">
      <c r="E36" s="54"/>
      <c r="F36" s="32" t="s">
        <v>78</v>
      </c>
      <c r="G36" s="141">
        <v>10000</v>
      </c>
      <c r="H36" s="55" t="s">
        <v>77</v>
      </c>
    </row>
    <row r="37" spans="5:8" x14ac:dyDescent="0.4">
      <c r="E37" s="54"/>
      <c r="F37" s="32" t="s">
        <v>15</v>
      </c>
      <c r="G37" s="32">
        <f>SQRT(G36)</f>
        <v>100</v>
      </c>
      <c r="H37" s="55" t="s">
        <v>77</v>
      </c>
    </row>
    <row r="38" spans="5:8" x14ac:dyDescent="0.4">
      <c r="E38" s="54"/>
      <c r="F38" s="32" t="s">
        <v>15</v>
      </c>
      <c r="G38" s="34">
        <f>G37/1000</f>
        <v>0.1</v>
      </c>
      <c r="H38" s="55" t="s">
        <v>75</v>
      </c>
    </row>
    <row r="39" spans="5:8" x14ac:dyDescent="0.4">
      <c r="E39" s="54"/>
      <c r="F39" s="32" t="s">
        <v>53</v>
      </c>
      <c r="G39" s="32">
        <v>3.2</v>
      </c>
      <c r="H39" s="55" t="s">
        <v>75</v>
      </c>
    </row>
    <row r="40" spans="5:8" x14ac:dyDescent="0.4">
      <c r="E40" s="54"/>
      <c r="F40" s="32" t="s">
        <v>54</v>
      </c>
      <c r="G40" s="32">
        <v>3.6</v>
      </c>
      <c r="H40" s="55" t="s">
        <v>75</v>
      </c>
    </row>
    <row r="41" spans="5:8" x14ac:dyDescent="0.4">
      <c r="E41" s="54"/>
      <c r="H41" s="55"/>
    </row>
    <row r="42" spans="5:8" x14ac:dyDescent="0.4">
      <c r="E42" s="54"/>
      <c r="F42" s="48">
        <v>0.9</v>
      </c>
      <c r="H42" s="55"/>
    </row>
    <row r="43" spans="5:8" x14ac:dyDescent="0.4">
      <c r="E43" s="54" t="s">
        <v>55</v>
      </c>
      <c r="F43" s="39">
        <f>1-(1-F42)/2</f>
        <v>0.95</v>
      </c>
      <c r="G43" s="142">
        <f>_xlfn.NORM.S.INV(F43)</f>
        <v>1.6448536269514715</v>
      </c>
      <c r="H43" s="55"/>
    </row>
    <row r="44" spans="5:8" x14ac:dyDescent="0.4">
      <c r="E44" s="54"/>
      <c r="H44" s="55"/>
    </row>
    <row r="45" spans="5:8" x14ac:dyDescent="0.4">
      <c r="E45" s="54"/>
      <c r="H45" s="55"/>
    </row>
    <row r="46" spans="5:8" x14ac:dyDescent="0.4">
      <c r="E46" s="54" t="s">
        <v>56</v>
      </c>
      <c r="F46" s="39">
        <f>_xlfn.NORM.DIST(G40,G35,G38,1)-_xlfn.NORM.DIST(G39,G35,G38,1)</f>
        <v>0.83999484803691316</v>
      </c>
      <c r="G46" s="34"/>
      <c r="H46" s="55"/>
    </row>
    <row r="47" spans="5:8" x14ac:dyDescent="0.4">
      <c r="E47" s="54" t="s">
        <v>57</v>
      </c>
      <c r="F47" s="32" t="s">
        <v>58</v>
      </c>
      <c r="G47" s="34">
        <f>$G$35-$G$43*$G$38</f>
        <v>3.3355146373048528</v>
      </c>
      <c r="H47" s="55" t="s">
        <v>75</v>
      </c>
    </row>
    <row r="48" spans="5:8" x14ac:dyDescent="0.4">
      <c r="E48" s="54" t="s">
        <v>57</v>
      </c>
      <c r="F48" s="32" t="s">
        <v>59</v>
      </c>
      <c r="G48" s="34">
        <f>$G$35+G$43*$G$38</f>
        <v>3.6644853626951472</v>
      </c>
      <c r="H48" s="55" t="s">
        <v>75</v>
      </c>
    </row>
    <row r="49" spans="5:8" ht="13.5" thickBot="1" x14ac:dyDescent="0.45">
      <c r="E49" s="40" t="s">
        <v>84</v>
      </c>
      <c r="F49" s="56" t="s">
        <v>76</v>
      </c>
      <c r="G49" s="57">
        <f>G38</f>
        <v>0.1</v>
      </c>
      <c r="H49" s="58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F13B-79AE-49BE-9FA9-457D6068160C}">
  <sheetPr>
    <pageSetUpPr fitToPage="1"/>
  </sheetPr>
  <dimension ref="A1:U59"/>
  <sheetViews>
    <sheetView tabSelected="1" topLeftCell="A13" zoomScaleNormal="100" workbookViewId="0">
      <selection activeCell="K24" sqref="K24"/>
    </sheetView>
  </sheetViews>
  <sheetFormatPr defaultRowHeight="12.75" x14ac:dyDescent="0.35"/>
  <cols>
    <col min="1" max="1" width="10.86328125" style="3" bestFit="1" customWidth="1"/>
    <col min="2" max="3" width="9.06640625" style="3"/>
    <col min="4" max="4" width="10.265625" style="3" customWidth="1"/>
    <col min="5" max="5" width="9.06640625" style="3"/>
    <col min="6" max="6" width="9.265625" style="3" bestFit="1" customWidth="1"/>
    <col min="7" max="7" width="10.59765625" style="3" customWidth="1"/>
    <col min="8" max="8" width="11.265625" style="3" customWidth="1"/>
    <col min="9" max="9" width="9.06640625" style="3"/>
    <col min="10" max="10" width="11.86328125" style="3" customWidth="1"/>
    <col min="11" max="16384" width="9.06640625" style="3"/>
  </cols>
  <sheetData>
    <row r="1" spans="1:21" ht="13.15" x14ac:dyDescent="0.4">
      <c r="A1" s="1" t="s">
        <v>0</v>
      </c>
      <c r="B1" s="2"/>
      <c r="C1" s="2"/>
    </row>
    <row r="2" spans="1:21" ht="15" x14ac:dyDescent="0.4">
      <c r="A2" s="4" t="s">
        <v>1</v>
      </c>
      <c r="B2" s="2"/>
      <c r="C2" s="2"/>
      <c r="J2" s="5" t="s">
        <v>2</v>
      </c>
      <c r="K2" s="5" t="s">
        <v>3</v>
      </c>
    </row>
    <row r="3" spans="1:21" ht="15" x14ac:dyDescent="0.4">
      <c r="A3" s="4"/>
      <c r="B3" s="2"/>
      <c r="C3" s="2"/>
      <c r="J3" s="5">
        <v>1</v>
      </c>
      <c r="K3" s="5">
        <v>4</v>
      </c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5.75" x14ac:dyDescent="0.5">
      <c r="A4" s="6" t="s">
        <v>4</v>
      </c>
      <c r="B4" s="2" t="s">
        <v>5</v>
      </c>
      <c r="C4" s="2"/>
      <c r="E4" s="7"/>
      <c r="J4" s="5">
        <v>2</v>
      </c>
      <c r="K4" s="5">
        <v>2</v>
      </c>
    </row>
    <row r="5" spans="1:21" ht="15.75" x14ac:dyDescent="0.5">
      <c r="A5" s="6" t="s">
        <v>6</v>
      </c>
      <c r="B5" s="2" t="s">
        <v>7</v>
      </c>
      <c r="D5" s="7"/>
      <c r="E5" s="7"/>
      <c r="J5" s="5">
        <v>3</v>
      </c>
      <c r="K5" s="5">
        <v>3</v>
      </c>
    </row>
    <row r="6" spans="1:21" ht="15.75" x14ac:dyDescent="0.5">
      <c r="A6" s="6" t="s">
        <v>8</v>
      </c>
      <c r="B6" s="2" t="s">
        <v>9</v>
      </c>
      <c r="D6" s="7"/>
      <c r="E6" s="8"/>
      <c r="J6" s="5">
        <v>4</v>
      </c>
      <c r="K6" s="5">
        <v>6</v>
      </c>
    </row>
    <row r="7" spans="1:21" ht="15.75" x14ac:dyDescent="0.5">
      <c r="A7" s="6" t="s">
        <v>10</v>
      </c>
      <c r="B7" s="2" t="s">
        <v>11</v>
      </c>
      <c r="C7" s="7"/>
      <c r="D7" s="7"/>
      <c r="E7" s="7"/>
      <c r="J7" s="5">
        <v>5</v>
      </c>
      <c r="K7" s="5">
        <v>4</v>
      </c>
    </row>
    <row r="8" spans="1:21" ht="15" x14ac:dyDescent="0.4">
      <c r="A8" s="6"/>
      <c r="C8" s="7"/>
      <c r="D8" s="7"/>
      <c r="E8" s="7"/>
      <c r="J8" s="5">
        <v>6</v>
      </c>
      <c r="K8" s="5">
        <v>-3</v>
      </c>
    </row>
    <row r="9" spans="1:21" ht="15" x14ac:dyDescent="0.4">
      <c r="A9" s="9" t="s">
        <v>12</v>
      </c>
      <c r="D9" s="10">
        <f>G9-3*G10</f>
        <v>-5.2329750674937614</v>
      </c>
      <c r="E9" s="7"/>
      <c r="F9" s="11" t="s">
        <v>13</v>
      </c>
      <c r="G9" s="10">
        <f>AVERAGE(K3:K16)</f>
        <v>2.3571428571428572</v>
      </c>
      <c r="J9" s="5">
        <v>7</v>
      </c>
      <c r="K9" s="5">
        <v>3</v>
      </c>
    </row>
    <row r="10" spans="1:21" ht="15" x14ac:dyDescent="0.4">
      <c r="A10" s="9" t="s">
        <v>14</v>
      </c>
      <c r="B10" s="12"/>
      <c r="C10" s="12"/>
      <c r="D10" s="10">
        <f>G9+3*G10</f>
        <v>9.9472607817794767</v>
      </c>
      <c r="E10" s="12"/>
      <c r="F10" s="13" t="s">
        <v>15</v>
      </c>
      <c r="G10" s="10">
        <f>_xlfn.STDEV.S(K3:K16)</f>
        <v>2.5300393082122064</v>
      </c>
      <c r="H10" s="12"/>
      <c r="J10" s="5">
        <v>8</v>
      </c>
      <c r="K10" s="5">
        <v>0</v>
      </c>
    </row>
    <row r="11" spans="1:21" ht="15" x14ac:dyDescent="0.4">
      <c r="A11" s="9" t="s">
        <v>16</v>
      </c>
      <c r="B11" s="12"/>
      <c r="C11" s="12"/>
      <c r="D11" s="14">
        <v>5</v>
      </c>
      <c r="E11" s="12"/>
      <c r="F11" s="13" t="s">
        <v>17</v>
      </c>
      <c r="G11" s="11">
        <f>COUNT(K3:K16)</f>
        <v>14</v>
      </c>
      <c r="H11" s="12"/>
      <c r="J11" s="5">
        <v>9</v>
      </c>
      <c r="K11" s="5">
        <v>2</v>
      </c>
    </row>
    <row r="12" spans="1:21" ht="15" x14ac:dyDescent="0.4">
      <c r="A12" s="3" t="s">
        <v>18</v>
      </c>
      <c r="B12" s="2"/>
      <c r="C12" s="2"/>
      <c r="D12" s="15">
        <f>(D10-D9)/D11</f>
        <v>3.0360471698546476</v>
      </c>
      <c r="F12" s="7"/>
      <c r="G12" s="7"/>
      <c r="H12" s="7"/>
      <c r="J12" s="5">
        <v>10</v>
      </c>
      <c r="K12" s="5">
        <v>1</v>
      </c>
    </row>
    <row r="13" spans="1:21" ht="15" x14ac:dyDescent="0.4">
      <c r="B13" s="2"/>
      <c r="C13" s="2"/>
      <c r="G13" s="7"/>
      <c r="H13" s="7"/>
      <c r="J13" s="5">
        <v>11</v>
      </c>
      <c r="K13" s="5">
        <v>0</v>
      </c>
    </row>
    <row r="14" spans="1:21" ht="15" x14ac:dyDescent="0.4">
      <c r="A14" s="7"/>
      <c r="B14" s="7"/>
      <c r="C14" s="7"/>
      <c r="D14" s="6"/>
      <c r="E14" s="16"/>
      <c r="G14" s="7"/>
      <c r="H14" s="7"/>
      <c r="J14" s="5">
        <v>12</v>
      </c>
      <c r="K14" s="5">
        <v>2</v>
      </c>
    </row>
    <row r="15" spans="1:21" ht="15" x14ac:dyDescent="0.4">
      <c r="A15" s="7"/>
      <c r="B15" s="7"/>
      <c r="C15" s="7"/>
      <c r="D15" s="6"/>
      <c r="E15" s="16"/>
      <c r="G15" s="7"/>
      <c r="H15" s="7"/>
      <c r="J15" s="5">
        <v>13</v>
      </c>
      <c r="K15" s="6">
        <v>7</v>
      </c>
    </row>
    <row r="16" spans="1:21" ht="15" x14ac:dyDescent="0.4">
      <c r="A16" s="7"/>
      <c r="B16" s="7"/>
      <c r="C16" s="7"/>
      <c r="D16" s="6"/>
      <c r="E16" s="16"/>
      <c r="G16" s="7"/>
      <c r="H16" s="7"/>
      <c r="J16" s="5">
        <v>14</v>
      </c>
      <c r="K16" s="6">
        <v>2</v>
      </c>
    </row>
    <row r="17" spans="1:20" x14ac:dyDescent="0.35">
      <c r="A17" s="7"/>
      <c r="B17" s="7"/>
      <c r="C17" s="7"/>
      <c r="D17" s="6"/>
      <c r="E17" s="16"/>
      <c r="G17" s="7"/>
      <c r="H17" s="7"/>
    </row>
    <row r="18" spans="1:20" x14ac:dyDescent="0.35">
      <c r="A18" s="7"/>
      <c r="B18" s="7"/>
      <c r="C18" s="7"/>
      <c r="D18" s="6"/>
      <c r="E18" s="16"/>
      <c r="G18" s="7"/>
      <c r="H18" s="7"/>
      <c r="P18" s="6"/>
      <c r="Q18" s="6"/>
      <c r="R18" s="6"/>
      <c r="S18" s="6"/>
      <c r="T18" s="6"/>
    </row>
    <row r="19" spans="1:20" ht="17.25" x14ac:dyDescent="0.45">
      <c r="A19" s="7"/>
      <c r="B19" s="7"/>
      <c r="C19" s="7"/>
      <c r="D19" s="6"/>
      <c r="E19" s="16"/>
      <c r="G19" s="7"/>
      <c r="H19" s="7"/>
      <c r="I19" s="17" t="s">
        <v>19</v>
      </c>
      <c r="J19" s="17" t="s">
        <v>3</v>
      </c>
      <c r="K19" s="17"/>
    </row>
    <row r="20" spans="1:20" ht="17.25" x14ac:dyDescent="0.45">
      <c r="A20" s="7"/>
      <c r="B20" s="7"/>
      <c r="C20" s="7"/>
      <c r="D20" s="6"/>
      <c r="E20" s="16"/>
      <c r="G20" s="7"/>
      <c r="H20" s="7"/>
      <c r="I20" s="17" t="s">
        <v>20</v>
      </c>
      <c r="J20" s="17" t="s">
        <v>21</v>
      </c>
      <c r="K20" s="18">
        <f>G9</f>
        <v>2.3571428571428572</v>
      </c>
      <c r="L20" s="19" t="s">
        <v>22</v>
      </c>
      <c r="M20" s="18">
        <f>G10</f>
        <v>2.5300393082122064</v>
      </c>
      <c r="N20" s="6"/>
      <c r="O20" s="6"/>
    </row>
    <row r="21" spans="1:20" ht="17.25" x14ac:dyDescent="0.45">
      <c r="A21" s="7"/>
      <c r="B21" s="7"/>
      <c r="C21" s="7"/>
      <c r="D21" s="6"/>
      <c r="E21" s="16"/>
      <c r="G21" s="7"/>
      <c r="H21" s="7"/>
      <c r="I21" s="17" t="s">
        <v>23</v>
      </c>
      <c r="J21" s="17" t="s">
        <v>71</v>
      </c>
      <c r="K21" s="17"/>
    </row>
    <row r="22" spans="1:20" ht="17.25" x14ac:dyDescent="0.45">
      <c r="A22" s="7"/>
      <c r="B22" s="7"/>
      <c r="C22" s="7"/>
      <c r="D22" s="6"/>
      <c r="E22" s="16"/>
      <c r="G22" s="7"/>
      <c r="H22" s="7"/>
      <c r="I22" s="17" t="s">
        <v>24</v>
      </c>
      <c r="J22" s="17" t="s">
        <v>67</v>
      </c>
      <c r="K22" s="20"/>
      <c r="L22" s="6"/>
      <c r="M22" s="6"/>
    </row>
    <row r="23" spans="1:20" ht="17.25" x14ac:dyDescent="0.45">
      <c r="A23" s="7"/>
      <c r="B23" s="7"/>
      <c r="C23" s="7"/>
      <c r="D23" s="6"/>
      <c r="E23" s="16"/>
      <c r="G23" s="7"/>
      <c r="H23" s="7"/>
      <c r="I23" s="17" t="s">
        <v>25</v>
      </c>
      <c r="J23" s="17" t="s">
        <v>68</v>
      </c>
      <c r="K23" s="160">
        <f>D53</f>
        <v>0.26706278524904525</v>
      </c>
      <c r="L23" s="17" t="s">
        <v>69</v>
      </c>
      <c r="N23" s="18">
        <f>D54</f>
        <v>4.1588830833596715</v>
      </c>
    </row>
    <row r="24" spans="1:20" ht="17.25" x14ac:dyDescent="0.45">
      <c r="A24" s="7"/>
      <c r="B24" s="7"/>
      <c r="C24" s="7"/>
      <c r="D24" s="6"/>
      <c r="E24" s="16"/>
      <c r="G24" s="7"/>
      <c r="H24" s="7"/>
      <c r="I24" s="17" t="s">
        <v>26</v>
      </c>
      <c r="J24" s="17" t="s">
        <v>70</v>
      </c>
      <c r="K24" s="18">
        <f>G46</f>
        <v>1.7416808512418283</v>
      </c>
    </row>
    <row r="25" spans="1:20" ht="17.25" x14ac:dyDescent="0.45">
      <c r="B25" s="12"/>
      <c r="C25" s="12"/>
      <c r="D25" s="6"/>
      <c r="E25" s="21"/>
      <c r="G25" s="7"/>
      <c r="H25" s="7"/>
      <c r="I25" s="17" t="s">
        <v>27</v>
      </c>
      <c r="J25" s="17" t="s">
        <v>28</v>
      </c>
    </row>
    <row r="34" spans="1:7" ht="15" x14ac:dyDescent="0.4">
      <c r="B34" s="1" t="s">
        <v>29</v>
      </c>
    </row>
    <row r="35" spans="1:7" ht="7.5" customHeight="1" x14ac:dyDescent="0.35"/>
    <row r="36" spans="1:7" ht="17.25" customHeight="1" x14ac:dyDescent="0.5">
      <c r="A36" s="3" t="s">
        <v>30</v>
      </c>
      <c r="B36" s="6" t="s">
        <v>31</v>
      </c>
      <c r="C36" s="22" t="s">
        <v>32</v>
      </c>
      <c r="D36" s="6" t="s">
        <v>10</v>
      </c>
      <c r="E36" s="6" t="s">
        <v>8</v>
      </c>
      <c r="F36" s="6" t="s">
        <v>4</v>
      </c>
      <c r="G36" s="6" t="s">
        <v>33</v>
      </c>
    </row>
    <row r="37" spans="1:7" x14ac:dyDescent="0.35">
      <c r="B37" s="6" t="s">
        <v>34</v>
      </c>
      <c r="C37" s="6" t="s">
        <v>34</v>
      </c>
      <c r="E37" s="6"/>
      <c r="F37" s="6"/>
    </row>
    <row r="38" spans="1:7" x14ac:dyDescent="0.35">
      <c r="B38" s="6"/>
    </row>
    <row r="39" spans="1:7" x14ac:dyDescent="0.35">
      <c r="A39" s="3">
        <v>1</v>
      </c>
      <c r="B39" s="22">
        <f>D9</f>
        <v>-5.2329750674937614</v>
      </c>
      <c r="C39" s="22">
        <f>+B39+$D$12</f>
        <v>-2.1969278976391138</v>
      </c>
      <c r="D39" s="23">
        <f>_xlfn.NORM.DIST(C39,$G$9,$G$10,1)-_xlfn.NORM.DIST(B39,$G$9,$G$10,1)</f>
        <v>3.4580421081295692E-2</v>
      </c>
      <c r="E39" s="24">
        <f>D39*$G$11</f>
        <v>0.48412589513813969</v>
      </c>
      <c r="F39" s="25">
        <f t="array" ref="F39:F43">FREQUENCY(K3:K16,C39:C43)</f>
        <v>1</v>
      </c>
      <c r="G39" s="26">
        <f>(F39-E39)^2/E39</f>
        <v>0.54970431191475433</v>
      </c>
    </row>
    <row r="40" spans="1:7" x14ac:dyDescent="0.35">
      <c r="A40" s="3">
        <v>2</v>
      </c>
      <c r="B40" s="22">
        <f>C39</f>
        <v>-2.1969278976391138</v>
      </c>
      <c r="C40" s="22">
        <f>+B40+$D$12</f>
        <v>0.83911927221553384</v>
      </c>
      <c r="D40" s="23">
        <f t="shared" ref="D40:D43" si="0">_xlfn.NORM.DIST(C40,$G$9,$G$10,1)-_xlfn.NORM.DIST(B40,$G$9,$G$10,1)</f>
        <v>0.23832279863714781</v>
      </c>
      <c r="E40" s="24">
        <f t="shared" ref="E40:E43" si="1">D40*$G$11</f>
        <v>3.3365191809200692</v>
      </c>
      <c r="F40" s="25">
        <v>2</v>
      </c>
      <c r="G40" s="26">
        <f t="shared" ref="G40:G43" si="2">(F40-E40)^2/E40</f>
        <v>0.53537337090166881</v>
      </c>
    </row>
    <row r="41" spans="1:7" x14ac:dyDescent="0.35">
      <c r="A41" s="3">
        <v>3</v>
      </c>
      <c r="B41" s="22">
        <f t="shared" ref="B41:B43" si="3">C40</f>
        <v>0.83911927221553384</v>
      </c>
      <c r="C41" s="22">
        <f t="shared" ref="C41:C43" si="4">+B41+$D$12</f>
        <v>3.8751664420701815</v>
      </c>
      <c r="D41" s="23">
        <f t="shared" si="0"/>
        <v>0.45149376449985285</v>
      </c>
      <c r="E41" s="24">
        <f t="shared" si="1"/>
        <v>6.3209127029979397</v>
      </c>
      <c r="F41" s="25">
        <v>7</v>
      </c>
      <c r="G41" s="26">
        <f t="shared" si="2"/>
        <v>7.2957748131981234E-2</v>
      </c>
    </row>
    <row r="42" spans="1:7" x14ac:dyDescent="0.35">
      <c r="A42" s="3">
        <v>4</v>
      </c>
      <c r="B42" s="22">
        <f t="shared" si="3"/>
        <v>3.8751664420701815</v>
      </c>
      <c r="C42" s="22">
        <f t="shared" si="4"/>
        <v>6.9112136119248291</v>
      </c>
      <c r="D42" s="23">
        <f t="shared" si="0"/>
        <v>0.23832279863714778</v>
      </c>
      <c r="E42" s="24">
        <f t="shared" si="1"/>
        <v>3.3365191809200692</v>
      </c>
      <c r="F42" s="25">
        <v>3</v>
      </c>
      <c r="G42" s="26">
        <f t="shared" si="2"/>
        <v>3.3941108378668476E-2</v>
      </c>
    </row>
    <row r="43" spans="1:7" x14ac:dyDescent="0.35">
      <c r="A43" s="3">
        <v>5</v>
      </c>
      <c r="B43" s="22">
        <f t="shared" si="3"/>
        <v>6.9112136119248291</v>
      </c>
      <c r="C43" s="22">
        <f t="shared" si="4"/>
        <v>9.9472607817794767</v>
      </c>
      <c r="D43" s="23">
        <f t="shared" si="0"/>
        <v>3.4580421081295665E-2</v>
      </c>
      <c r="E43" s="24">
        <f t="shared" si="1"/>
        <v>0.48412589513813931</v>
      </c>
      <c r="F43" s="25">
        <v>1</v>
      </c>
      <c r="G43" s="26">
        <f t="shared" si="2"/>
        <v>0.54970431191475566</v>
      </c>
    </row>
    <row r="44" spans="1:7" x14ac:dyDescent="0.35">
      <c r="C44" s="27"/>
      <c r="D44" s="2">
        <f>SUM(D39:D43)</f>
        <v>0.99730020393673979</v>
      </c>
      <c r="E44" s="2">
        <f>SUM(E39:E43)</f>
        <v>13.962202855114356</v>
      </c>
      <c r="F44" s="2">
        <f>SUM(F39:F43)</f>
        <v>14</v>
      </c>
      <c r="G44" s="2">
        <f>SUM(G39:G43)</f>
        <v>1.7416808512418283</v>
      </c>
    </row>
    <row r="45" spans="1:7" x14ac:dyDescent="0.35">
      <c r="C45" s="27"/>
    </row>
    <row r="46" spans="1:7" ht="14.65" x14ac:dyDescent="0.4">
      <c r="D46" s="3" t="s">
        <v>35</v>
      </c>
      <c r="G46" s="24">
        <f>SUM(G39:G43)</f>
        <v>1.7416808512418283</v>
      </c>
    </row>
    <row r="48" spans="1:7" ht="15" x14ac:dyDescent="0.4">
      <c r="A48" s="1" t="s">
        <v>36</v>
      </c>
      <c r="F48" s="1"/>
    </row>
    <row r="49" spans="1:14" ht="12.75" customHeight="1" x14ac:dyDescent="0.35">
      <c r="A49" s="3" t="s">
        <v>37</v>
      </c>
      <c r="D49" s="28">
        <v>0.75</v>
      </c>
      <c r="F49" s="29"/>
      <c r="G49" s="29"/>
      <c r="H49" s="29"/>
      <c r="I49" s="29"/>
      <c r="J49" s="29"/>
      <c r="K49" s="29"/>
      <c r="L49" s="29"/>
      <c r="M49" s="29"/>
      <c r="N49" s="29"/>
    </row>
    <row r="50" spans="1:14" x14ac:dyDescent="0.35">
      <c r="A50" s="3" t="s">
        <v>16</v>
      </c>
      <c r="D50" s="30">
        <f>D11</f>
        <v>5</v>
      </c>
      <c r="F50" s="29"/>
      <c r="G50" s="29"/>
      <c r="H50" s="29"/>
      <c r="I50" s="29"/>
      <c r="J50" s="29"/>
      <c r="K50" s="29"/>
      <c r="L50" s="29"/>
      <c r="M50" s="29"/>
      <c r="N50" s="29"/>
    </row>
    <row r="51" spans="1:14" x14ac:dyDescent="0.35">
      <c r="A51" s="3" t="s">
        <v>38</v>
      </c>
      <c r="D51" s="30">
        <f>3</f>
        <v>3</v>
      </c>
      <c r="F51" s="29"/>
      <c r="G51" s="29"/>
      <c r="H51" s="29"/>
      <c r="I51" s="29"/>
      <c r="J51" s="29"/>
      <c r="K51" s="29"/>
      <c r="L51" s="29"/>
      <c r="M51" s="29"/>
      <c r="N51" s="29"/>
    </row>
    <row r="52" spans="1:14" x14ac:dyDescent="0.35">
      <c r="A52" s="3" t="s">
        <v>39</v>
      </c>
      <c r="D52" s="30">
        <f>D50-D51</f>
        <v>2</v>
      </c>
      <c r="F52" s="29"/>
      <c r="G52" s="29"/>
      <c r="H52" s="29"/>
      <c r="I52" s="29"/>
      <c r="J52" s="29"/>
      <c r="K52" s="29"/>
      <c r="L52" s="29"/>
      <c r="M52" s="29"/>
      <c r="N52" s="29"/>
    </row>
    <row r="53" spans="1:14" ht="14.65" x14ac:dyDescent="0.4">
      <c r="A53" s="3" t="s">
        <v>40</v>
      </c>
      <c r="D53" s="24">
        <f>_xlfn.CHISQ.INV((1-D49)/2,D52)</f>
        <v>0.26706278524904525</v>
      </c>
      <c r="F53" s="29"/>
      <c r="G53" s="29"/>
      <c r="H53" s="29"/>
      <c r="I53" s="29"/>
      <c r="J53" s="29"/>
      <c r="K53" s="29"/>
      <c r="L53" s="29"/>
      <c r="M53" s="29"/>
      <c r="N53" s="29"/>
    </row>
    <row r="54" spans="1:14" ht="14.65" x14ac:dyDescent="0.4">
      <c r="A54" s="3" t="s">
        <v>41</v>
      </c>
      <c r="B54" s="31"/>
      <c r="D54" s="24">
        <f>_xlfn.CHISQ.INV(1-(1-D49)/2,D52)</f>
        <v>4.1588830833596715</v>
      </c>
      <c r="F54" s="29"/>
      <c r="G54" s="29"/>
      <c r="H54" s="29"/>
      <c r="I54" s="29"/>
      <c r="J54" s="29"/>
      <c r="K54" s="29"/>
      <c r="L54" s="29"/>
      <c r="M54" s="29"/>
      <c r="N54" s="29"/>
    </row>
    <row r="55" spans="1:14" x14ac:dyDescent="0.35">
      <c r="B55" s="31"/>
      <c r="F55" s="22"/>
    </row>
    <row r="56" spans="1:14" ht="13.15" x14ac:dyDescent="0.4">
      <c r="A56" s="1" t="s">
        <v>42</v>
      </c>
    </row>
    <row r="57" spans="1:14" ht="14.25" customHeight="1" x14ac:dyDescent="0.4">
      <c r="A57" s="157" t="s">
        <v>66</v>
      </c>
      <c r="B57" s="157"/>
      <c r="C57" s="157"/>
      <c r="D57" s="157"/>
      <c r="E57" s="157"/>
      <c r="F57" s="157"/>
      <c r="G57" s="157"/>
      <c r="H57" s="157"/>
      <c r="J57" s="1"/>
    </row>
    <row r="58" spans="1:14" x14ac:dyDescent="0.35">
      <c r="A58" s="157"/>
      <c r="B58" s="157"/>
      <c r="C58" s="157"/>
      <c r="D58" s="157"/>
      <c r="E58" s="157"/>
      <c r="F58" s="157"/>
      <c r="G58" s="157"/>
      <c r="H58" s="157"/>
    </row>
    <row r="59" spans="1:14" ht="14.25" customHeight="1" x14ac:dyDescent="0.35">
      <c r="A59" s="157"/>
      <c r="B59" s="157"/>
      <c r="C59" s="157"/>
      <c r="D59" s="157"/>
      <c r="E59" s="157"/>
      <c r="F59" s="157"/>
      <c r="G59" s="157"/>
      <c r="H59" s="157"/>
    </row>
  </sheetData>
  <mergeCells count="1">
    <mergeCell ref="A57:H59"/>
  </mergeCells>
  <printOptions verticalCentered="1"/>
  <pageMargins left="0.39" right="0.49" top="0.68" bottom="0.68" header="0.5" footer="0.5"/>
  <pageSetup paperSize="9" scale="71" orientation="portrait" horizontalDpi="180" verticalDpi="4294967292" r:id="rId1"/>
  <headerFooter alignWithMargins="0">
    <oddHeader>&amp;F</oddHeader>
    <oddFooter>Pagina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0596-761A-4283-BD6A-260E87EFB60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UncTable (2)</vt:lpstr>
      <vt:lpstr>probability</vt:lpstr>
      <vt:lpstr>data analysis</vt:lpstr>
      <vt:lpstr>Sheet1</vt:lpstr>
    </vt:vector>
  </TitlesOfParts>
  <Company>INRiM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Zucco</dc:creator>
  <cp:lastModifiedBy>Massimo Zucco</cp:lastModifiedBy>
  <dcterms:created xsi:type="dcterms:W3CDTF">2026-02-01T09:30:50Z</dcterms:created>
  <dcterms:modified xsi:type="dcterms:W3CDTF">2026-02-07T14:50:55Z</dcterms:modified>
</cp:coreProperties>
</file>