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idattica poli\uzebikastan\TTPU 2025\exam\190126\"/>
    </mc:Choice>
  </mc:AlternateContent>
  <xr:revisionPtr revIDLastSave="0" documentId="8_{6C1F340A-2183-8844-856B-12DF18C3442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UncTable" sheetId="9" r:id="rId1"/>
    <sheet name="data analysis" sheetId="8" r:id="rId2"/>
    <sheet name="probabil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8" l="1"/>
  <c r="F13" i="8"/>
  <c r="E6" i="9"/>
  <c r="E11" i="9"/>
  <c r="E8" i="9"/>
  <c r="B20" i="9"/>
  <c r="M29" i="9"/>
  <c r="I22" i="9"/>
  <c r="K22" i="9"/>
  <c r="B22" i="9"/>
  <c r="C37" i="9"/>
  <c r="H21" i="9"/>
  <c r="K21" i="9"/>
  <c r="I20" i="9"/>
  <c r="K20" i="9"/>
  <c r="I23" i="9"/>
  <c r="K23" i="9"/>
  <c r="I7" i="9"/>
  <c r="H10" i="8" a="1"/>
  <c r="H10" i="8"/>
  <c r="T16" i="8"/>
  <c r="C6" i="8"/>
  <c r="C7" i="8"/>
  <c r="C8" i="8"/>
  <c r="C9" i="8"/>
  <c r="C10" i="8"/>
  <c r="C11" i="8"/>
  <c r="D37" i="9"/>
  <c r="B25" i="9"/>
  <c r="J5" i="9"/>
  <c r="G37" i="9"/>
  <c r="E37" i="9"/>
  <c r="F37" i="9"/>
  <c r="L22" i="9"/>
  <c r="C36" i="9"/>
  <c r="D36" i="9"/>
  <c r="G36" i="9"/>
  <c r="J11" i="8"/>
  <c r="N16" i="8"/>
  <c r="I10" i="8"/>
  <c r="P16" i="8"/>
  <c r="I11" i="8"/>
  <c r="R16" i="8"/>
  <c r="H11" i="8"/>
  <c r="V16" i="8"/>
  <c r="J10" i="8"/>
  <c r="K18" i="8"/>
  <c r="L16" i="8"/>
  <c r="L23" i="9"/>
  <c r="M23" i="9"/>
  <c r="M22" i="9"/>
  <c r="E36" i="9"/>
  <c r="F36" i="9"/>
  <c r="L20" i="9"/>
  <c r="E6" i="8"/>
  <c r="F6" i="8"/>
  <c r="E7" i="8"/>
  <c r="F7" i="8"/>
  <c r="E9" i="8"/>
  <c r="F9" i="8"/>
  <c r="E10" i="8"/>
  <c r="F10" i="8"/>
  <c r="E11" i="8"/>
  <c r="F11" i="8"/>
  <c r="E8" i="8"/>
  <c r="F8" i="8"/>
  <c r="F12" i="8"/>
  <c r="O22" i="9"/>
  <c r="J4" i="9"/>
  <c r="O23" i="9"/>
  <c r="M4" i="9"/>
  <c r="L21" i="9"/>
  <c r="M21" i="9"/>
  <c r="M20" i="9"/>
  <c r="O21" i="9"/>
  <c r="M3" i="9"/>
  <c r="N21" i="9"/>
  <c r="O20" i="9"/>
  <c r="J3" i="9"/>
  <c r="N20" i="9"/>
  <c r="M25" i="9"/>
  <c r="M26" i="9"/>
  <c r="N23" i="9"/>
  <c r="N22" i="9"/>
  <c r="M30" i="9"/>
  <c r="M6" i="9"/>
  <c r="J6" i="9"/>
  <c r="L30" i="9"/>
  <c r="H36" i="3"/>
  <c r="I26" i="3"/>
  <c r="K26" i="3"/>
  <c r="B20" i="3"/>
  <c r="I24" i="3"/>
  <c r="K24" i="3"/>
  <c r="B19" i="3"/>
  <c r="I22" i="3"/>
  <c r="K22" i="3"/>
  <c r="B18" i="3"/>
  <c r="G44" i="3"/>
  <c r="G41" i="3"/>
  <c r="H41" i="3"/>
  <c r="H45" i="3"/>
  <c r="K19" i="3"/>
  <c r="B17" i="3"/>
  <c r="K17" i="3"/>
  <c r="B16" i="3"/>
  <c r="K15" i="3"/>
  <c r="B15" i="3"/>
  <c r="H4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Giulio Barbato</author>
    <author>Barbato</author>
  </authors>
  <commentList>
    <comment ref="D19" authorId="0" shapeId="0" xr:uid="{00000000-0006-0000-0000-000001000000}">
      <text>
        <r>
          <rPr>
            <sz val="8"/>
            <color indexed="81"/>
            <rFont val="Tahoma"/>
            <family val="2"/>
          </rPr>
          <t>Expanded Uncertainty</t>
        </r>
      </text>
    </comment>
    <comment ref="E19" authorId="0" shapeId="0" xr:uid="{00000000-0006-0000-0000-000002000000}">
      <text>
        <r>
          <rPr>
            <sz val="8"/>
            <color indexed="81"/>
            <rFont val="Tahoma"/>
            <family val="2"/>
          </rPr>
          <t>Presumed confidence level</t>
        </r>
      </text>
    </comment>
    <comment ref="F19" authorId="0" shapeId="0" xr:uid="{00000000-0006-0000-0000-000003000000}">
      <text>
        <r>
          <rPr>
            <sz val="8"/>
            <color indexed="81"/>
            <rFont val="Tahoma"/>
            <family val="2"/>
          </rPr>
          <t>Presumed degrees of freedom</t>
        </r>
      </text>
    </comment>
    <comment ref="G19" authorId="0" shapeId="0" xr:uid="{00000000-0006-0000-0000-000004000000}">
      <text>
        <r>
          <rPr>
            <sz val="8"/>
            <color indexed="81"/>
            <rFont val="Tahoma"/>
            <family val="2"/>
          </rPr>
          <t>Presumed coverage factor</t>
        </r>
      </text>
    </comment>
    <comment ref="H19" authorId="0" shapeId="0" xr:uid="{00000000-0006-0000-0000-000005000000}">
      <text>
        <r>
          <rPr>
            <sz val="8"/>
            <color indexed="81"/>
            <rFont val="Tahoma"/>
            <family val="2"/>
          </rPr>
          <t>Standard deviation</t>
        </r>
      </text>
    </comment>
    <comment ref="I19" authorId="0" shapeId="0" xr:uid="{00000000-0006-0000-0000-000006000000}">
      <text>
        <r>
          <rPr>
            <sz val="8"/>
            <color indexed="81"/>
            <rFont val="Tahoma"/>
            <family val="2"/>
          </rPr>
          <t>half of variability band</t>
        </r>
      </text>
    </comment>
    <comment ref="J19" authorId="0" shapeId="0" xr:uid="{00000000-0006-0000-0000-000007000000}">
      <text>
        <r>
          <rPr>
            <sz val="8"/>
            <color indexed="81"/>
            <rFont val="Tahoma"/>
            <family val="2"/>
          </rPr>
          <t>B type denominator</t>
        </r>
      </text>
    </comment>
    <comment ref="F20" authorId="1" shapeId="0" xr:uid="{00000000-0006-0000-0000-000008000000}">
      <text>
        <r>
          <rPr>
            <b/>
            <sz val="10"/>
            <color indexed="81"/>
            <rFont val="Tahoma"/>
            <family val="2"/>
          </rPr>
          <t>Information on the degrees of freedom (4 measurements, 3 d.o.f.) is given together with the information on expanded uncertainty.</t>
        </r>
      </text>
    </comment>
  </commentList>
</comments>
</file>

<file path=xl/sharedStrings.xml><?xml version="1.0" encoding="utf-8"?>
<sst xmlns="http://schemas.openxmlformats.org/spreadsheetml/2006/main" count="194" uniqueCount="120">
  <si>
    <t>average</t>
  </si>
  <si>
    <t>st dev</t>
  </si>
  <si>
    <t>a)</t>
  </si>
  <si>
    <t>b)</t>
  </si>
  <si>
    <t>c)</t>
  </si>
  <si>
    <t>d)</t>
  </si>
  <si>
    <t>e)</t>
  </si>
  <si>
    <t>Confidence level</t>
  </si>
  <si>
    <t>P</t>
  </si>
  <si>
    <t>mean</t>
  </si>
  <si>
    <t>sc</t>
  </si>
  <si>
    <t>nc</t>
  </si>
  <si>
    <t>np</t>
  </si>
  <si>
    <t>c</t>
  </si>
  <si>
    <t>LSI</t>
  </si>
  <si>
    <t>LSS</t>
  </si>
  <si>
    <t>f)</t>
  </si>
  <si>
    <t>z</t>
  </si>
  <si>
    <t>LSI*</t>
  </si>
  <si>
    <t>LSS*</t>
  </si>
  <si>
    <t>Uncertainty table</t>
  </si>
  <si>
    <t>Measuring instrument:</t>
  </si>
  <si>
    <t>Factor</t>
  </si>
  <si>
    <t>Information</t>
  </si>
  <si>
    <t>Value</t>
  </si>
  <si>
    <t>3a</t>
  </si>
  <si>
    <t>resolution</t>
  </si>
  <si>
    <t>reproducibility</t>
  </si>
  <si>
    <t>3b</t>
  </si>
  <si>
    <t>3c</t>
  </si>
  <si>
    <t>smalles</t>
  </si>
  <si>
    <t>3d</t>
  </si>
  <si>
    <t>biggest</t>
  </si>
  <si>
    <t>measure</t>
  </si>
  <si>
    <t>Mathematical model</t>
  </si>
  <si>
    <r>
      <t xml:space="preserve">Variable 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j</t>
    </r>
  </si>
  <si>
    <t>Statistical</t>
  </si>
  <si>
    <t>Non Statistical</t>
  </si>
  <si>
    <t>Symbol</t>
  </si>
  <si>
    <t>Note</t>
  </si>
  <si>
    <r>
      <t>U</t>
    </r>
    <r>
      <rPr>
        <i/>
        <vertAlign val="subscript"/>
        <sz val="10"/>
        <rFont val="Arial"/>
        <family val="2"/>
      </rPr>
      <t>j</t>
    </r>
  </si>
  <si>
    <r>
      <t>P</t>
    </r>
    <r>
      <rPr>
        <i/>
        <vertAlign val="subscript"/>
        <sz val="10"/>
        <rFont val="Arial"/>
        <family val="2"/>
      </rPr>
      <t>dj</t>
    </r>
  </si>
  <si>
    <r>
      <t>n</t>
    </r>
    <r>
      <rPr>
        <i/>
        <vertAlign val="subscript"/>
        <sz val="10"/>
        <rFont val="Arial"/>
        <family val="2"/>
      </rPr>
      <t>dj</t>
    </r>
  </si>
  <si>
    <r>
      <t>k</t>
    </r>
    <r>
      <rPr>
        <i/>
        <vertAlign val="subscript"/>
        <sz val="10"/>
        <rFont val="Arial"/>
        <family val="2"/>
      </rPr>
      <t>dj</t>
    </r>
  </si>
  <si>
    <r>
      <t>s</t>
    </r>
    <r>
      <rPr>
        <i/>
        <vertAlign val="subscript"/>
        <sz val="10"/>
        <rFont val="Arial"/>
        <family val="2"/>
      </rPr>
      <t>j</t>
    </r>
  </si>
  <si>
    <r>
      <t>a</t>
    </r>
    <r>
      <rPr>
        <i/>
        <vertAlign val="subscript"/>
        <sz val="10"/>
        <rFont val="Arial"/>
        <family val="2"/>
      </rPr>
      <t>j</t>
    </r>
  </si>
  <si>
    <r>
      <t>k</t>
    </r>
    <r>
      <rPr>
        <i/>
        <vertAlign val="subscript"/>
        <sz val="10"/>
        <rFont val="Arial"/>
        <family val="2"/>
      </rPr>
      <t>a</t>
    </r>
  </si>
  <si>
    <r>
      <t>u²(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j</t>
    </r>
    <r>
      <rPr>
        <sz val="10"/>
        <rFont val="Times New Roman"/>
        <family val="1"/>
      </rPr>
      <t>)</t>
    </r>
  </si>
  <si>
    <t>ci=Dy/Dx</t>
  </si>
  <si>
    <r>
      <t>u</t>
    </r>
    <r>
      <rPr>
        <vertAlign val="subscript"/>
        <sz val="10"/>
        <rFont val="Arial"/>
        <family val="2"/>
      </rPr>
      <t>j</t>
    </r>
    <r>
      <rPr>
        <sz val="10"/>
        <rFont val="Times New Roman"/>
        <family val="1"/>
      </rPr>
      <t>²(y)</t>
    </r>
  </si>
  <si>
    <t>Rank</t>
  </si>
  <si>
    <t>ui(y)</t>
  </si>
  <si>
    <t xml:space="preserve"> reproducibility</t>
  </si>
  <si>
    <t>accuracy</t>
  </si>
  <si>
    <r>
      <t xml:space="preserve">Variance of </t>
    </r>
    <r>
      <rPr>
        <i/>
        <sz val="10"/>
        <rFont val="Arial"/>
        <family val="2"/>
      </rPr>
      <t>y</t>
    </r>
    <r>
      <rPr>
        <sz val="10"/>
        <rFont val="Times New Roman"/>
        <family val="1"/>
      </rPr>
      <t>, u²(</t>
    </r>
    <r>
      <rPr>
        <i/>
        <sz val="10"/>
        <rFont val="Arial"/>
        <family val="2"/>
      </rPr>
      <t>y</t>
    </r>
    <r>
      <rPr>
        <sz val="10"/>
        <rFont val="Times New Roman"/>
        <family val="1"/>
      </rPr>
      <t>)</t>
    </r>
  </si>
  <si>
    <r>
      <t xml:space="preserve">Standard uncertainty of </t>
    </r>
    <r>
      <rPr>
        <i/>
        <sz val="10"/>
        <rFont val="Arial"/>
        <family val="2"/>
      </rPr>
      <t>y</t>
    </r>
    <r>
      <rPr>
        <sz val="10"/>
        <rFont val="Times New Roman"/>
        <family val="1"/>
      </rPr>
      <t>, u(y)</t>
    </r>
  </si>
  <si>
    <t>Coverage factor (Student t)</t>
  </si>
  <si>
    <t>Expanded uncertainty U(y)</t>
  </si>
  <si>
    <t>Computation of Sensitivity Coefficients</t>
  </si>
  <si>
    <t>Show the main factors to be considered for reducing the uncertainty</t>
  </si>
  <si>
    <r>
      <t>D</t>
    </r>
    <r>
      <rPr>
        <sz val="10"/>
        <rFont val="Times New Roman"/>
        <family val="1"/>
      </rPr>
      <t>x</t>
    </r>
    <r>
      <rPr>
        <vertAlign val="subscript"/>
        <sz val="10"/>
        <rFont val="Arial"/>
        <family val="2"/>
      </rPr>
      <t>i</t>
    </r>
  </si>
  <si>
    <r>
      <t>x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+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</rPr>
      <t>x</t>
    </r>
    <r>
      <rPr>
        <vertAlign val="subscript"/>
        <sz val="10"/>
        <rFont val="Arial"/>
        <family val="2"/>
      </rPr>
      <t>i</t>
    </r>
  </si>
  <si>
    <r>
      <t>y+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</rPr>
      <t>y</t>
    </r>
  </si>
  <si>
    <r>
      <t>D</t>
    </r>
    <r>
      <rPr>
        <sz val="10"/>
        <rFont val="Times New Roman"/>
        <family val="1"/>
      </rPr>
      <t>y</t>
    </r>
  </si>
  <si>
    <r>
      <t>D</t>
    </r>
    <r>
      <rPr>
        <sz val="10"/>
        <rFont val="Times New Roman"/>
        <family val="1"/>
      </rPr>
      <t>y/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</rPr>
      <t>x</t>
    </r>
  </si>
  <si>
    <t>derivative</t>
  </si>
  <si>
    <t>Show the main factors to be considered for reducing the costs</t>
  </si>
  <si>
    <t>m2</t>
  </si>
  <si>
    <t>m</t>
  </si>
  <si>
    <t>s</t>
  </si>
  <si>
    <t>sp</t>
  </si>
  <si>
    <t>HYPERGEOMETRIC</t>
  </si>
  <si>
    <t>BINOMIAL</t>
  </si>
  <si>
    <t>cm</t>
  </si>
  <si>
    <t>g)</t>
  </si>
  <si>
    <t>h)</t>
  </si>
  <si>
    <r>
      <t xml:space="preserve">Report the results in percentage form with </t>
    </r>
    <r>
      <rPr>
        <u/>
        <sz val="11"/>
        <color theme="1"/>
        <rFont val="Calibri"/>
        <family val="2"/>
      </rPr>
      <t xml:space="preserve">exactly </t>
    </r>
    <r>
      <rPr>
        <sz val="11"/>
        <color theme="1"/>
        <rFont val="Calibri"/>
        <family val="2"/>
      </rPr>
      <t xml:space="preserve"> two decimal units like 0.12%, or 99.85%. If more or less than 2 decimal digits are reported, the mark will be reduced. </t>
    </r>
  </si>
  <si>
    <t xml:space="preserve">If at the end of the day, I extract 3 pieces, without reinsertion  </t>
  </si>
  <si>
    <t>a) Calculate the probability that exactly 0 pieces are defective.</t>
  </si>
  <si>
    <t>b) Calculate the probability that all  the extracted pieces are defectives.</t>
  </si>
  <si>
    <t>c) Calculate the probability that a least 1 piece are functioning.</t>
  </si>
  <si>
    <t xml:space="preserve">Repeat the question but considering that all the pieces are reinserted </t>
  </si>
  <si>
    <t>d) Calculate the probability that exactly 0 pieces are defective.</t>
  </si>
  <si>
    <t>e) Calculate the probability that all  the extracted pieces are defectives.</t>
  </si>
  <si>
    <t>f) Calculate the probability that a least 1 piece are functioning.</t>
  </si>
  <si>
    <t>u(a1)</t>
  </si>
  <si>
    <t>a1</t>
  </si>
  <si>
    <t>u(a0)</t>
  </si>
  <si>
    <t>a0</t>
  </si>
  <si>
    <t>residue</t>
  </si>
  <si>
    <t>L(m)</t>
  </si>
  <si>
    <r>
      <t>T</t>
    </r>
    <r>
      <rPr>
        <vertAlign val="superscript"/>
        <sz val="11"/>
        <color theme="1"/>
        <rFont val="Calibri"/>
        <family val="2"/>
      </rPr>
      <t>2</t>
    </r>
  </si>
  <si>
    <t>T(s)</t>
  </si>
  <si>
    <t>parabola</t>
  </si>
  <si>
    <t>L(T=5.5)</t>
  </si>
  <si>
    <t>a2</t>
  </si>
  <si>
    <t>u(a2)</t>
  </si>
  <si>
    <t>u(v,res)</t>
  </si>
  <si>
    <t>u(v,repr)</t>
  </si>
  <si>
    <r>
      <rPr>
        <b/>
        <sz val="10"/>
        <rFont val="Symbol"/>
        <family val="1"/>
        <charset val="2"/>
      </rPr>
      <t>D</t>
    </r>
    <r>
      <rPr>
        <b/>
        <sz val="8.5"/>
        <rFont val="Times New Roman"/>
        <family val="1"/>
      </rPr>
      <t>s</t>
    </r>
  </si>
  <si>
    <t>u(v,acc)</t>
  </si>
  <si>
    <t>u(v,)</t>
  </si>
  <si>
    <t>U(v)</t>
  </si>
  <si>
    <t>Dt</t>
  </si>
  <si>
    <t>repr</t>
  </si>
  <si>
    <t>DS</t>
  </si>
  <si>
    <t>error</t>
  </si>
  <si>
    <r>
      <t xml:space="preserve">v = 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</rPr>
      <t>s/</t>
    </r>
    <r>
      <rPr>
        <sz val="10"/>
        <rFont val="Symbol"/>
        <family val="1"/>
        <charset val="2"/>
      </rPr>
      <t>D</t>
    </r>
    <r>
      <rPr>
        <sz val="8.5"/>
        <rFont val="Times New Roman"/>
        <family val="1"/>
      </rPr>
      <t>t</t>
    </r>
  </si>
  <si>
    <r>
      <rPr>
        <sz val="10"/>
        <rFont val="Symbol"/>
        <family val="1"/>
        <charset val="2"/>
      </rPr>
      <t>D</t>
    </r>
    <r>
      <rPr>
        <sz val="8.5"/>
        <rFont val="Times New Roman"/>
        <family val="1"/>
      </rPr>
      <t>s</t>
    </r>
  </si>
  <si>
    <t>v</t>
  </si>
  <si>
    <t>m/s</t>
  </si>
  <si>
    <t>reproducibility Ds</t>
  </si>
  <si>
    <t>resolution Dt</t>
  </si>
  <si>
    <t>accuracy 1%</t>
  </si>
  <si>
    <t>variance</t>
  </si>
  <si>
    <r>
      <rPr>
        <b/>
        <sz val="10"/>
        <rFont val="Symbol"/>
        <family val="1"/>
        <charset val="2"/>
      </rPr>
      <t>D</t>
    </r>
    <r>
      <rPr>
        <b/>
        <sz val="10"/>
        <rFont val="Times New Roman"/>
        <family val="1"/>
      </rPr>
      <t>s</t>
    </r>
  </si>
  <si>
    <t xml:space="preserve">n a production plant 25 pieces in one day are produced, I know that there are 4 pieces defective.  </t>
  </si>
  <si>
    <t>In the class there is a normal distribution of student’s height, the mean value is 1.70 m, the standard deviation is 0.12 cm. I have the specification limits of LSI = 1.60 m  and LSS =  178 cm.</t>
  </si>
  <si>
    <t>g) Determine the percentage of heights  within the specification (i.e. whose height is within the specification limits LSI and LSS).</t>
  </si>
  <si>
    <t>h) Estimate the values of new specification limits (symmetric with respect to the mean value) which result in a percentage of bars within the specification of 90%, expressed in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</si>
</sst>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"/>
    <numFmt numFmtId="166" formatCode="0.000"/>
    <numFmt numFmtId="167" formatCode="0.0%"/>
    <numFmt numFmtId="168" formatCode="0.00000E+00"/>
    <numFmt numFmtId="169" formatCode="0.0E+00"/>
    <numFmt numFmtId="170" formatCode="0E+00"/>
    <numFmt numFmtId="171" formatCode="0.000E+00"/>
    <numFmt numFmtId="172" formatCode="0.0000E+00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Symbol"/>
      <family val="1"/>
      <charset val="2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sz val="10"/>
      <name val="Calibri"/>
      <family val="2"/>
    </font>
    <font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i/>
      <sz val="10"/>
      <name val="Arial"/>
      <family val="2"/>
    </font>
    <font>
      <i/>
      <vertAlign val="subscript"/>
      <sz val="10"/>
      <name val="Arial"/>
      <family val="2"/>
    </font>
    <font>
      <i/>
      <sz val="10"/>
      <name val="Symbol"/>
      <family val="1"/>
      <charset val="2"/>
    </font>
    <font>
      <sz val="10"/>
      <color rgb="FFFF0000"/>
      <name val="Times New Roman"/>
      <family val="1"/>
    </font>
    <font>
      <sz val="10"/>
      <name val="Aptos Display"/>
      <family val="1"/>
      <scheme val="major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name val="Aptos Narrow"/>
      <family val="2"/>
      <scheme val="minor"/>
    </font>
    <font>
      <b/>
      <sz val="10"/>
      <name val="Times New Roman"/>
      <family val="1"/>
      <charset val="2"/>
    </font>
    <font>
      <b/>
      <sz val="8.5"/>
      <name val="Times New Roman"/>
      <family val="1"/>
    </font>
    <font>
      <sz val="8.5"/>
      <name val="Times New Roman"/>
      <family val="1"/>
    </font>
    <font>
      <sz val="10"/>
      <name val="Times New Roman"/>
      <family val="1"/>
      <charset val="2"/>
    </font>
    <font>
      <sz val="10"/>
      <color theme="6" tint="0.59999389629810485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43">
    <xf numFmtId="0" fontId="0" fillId="0" borderId="0" xfId="0"/>
    <xf numFmtId="0" fontId="7" fillId="0" borderId="0" xfId="2"/>
    <xf numFmtId="2" fontId="7" fillId="0" borderId="0" xfId="2" applyNumberFormat="1"/>
    <xf numFmtId="0" fontId="7" fillId="0" borderId="0" xfId="2" applyAlignment="1">
      <alignment horizontal="center"/>
    </xf>
    <xf numFmtId="0" fontId="8" fillId="0" borderId="0" xfId="2" applyFont="1"/>
    <xf numFmtId="10" fontId="7" fillId="0" borderId="0" xfId="2" applyNumberFormat="1"/>
    <xf numFmtId="165" fontId="7" fillId="0" borderId="0" xfId="2" applyNumberFormat="1"/>
    <xf numFmtId="9" fontId="7" fillId="0" borderId="0" xfId="2" applyNumberFormat="1"/>
    <xf numFmtId="167" fontId="7" fillId="0" borderId="0" xfId="2" applyNumberFormat="1"/>
    <xf numFmtId="0" fontId="9" fillId="0" borderId="0" xfId="2" applyFont="1"/>
    <xf numFmtId="0" fontId="10" fillId="0" borderId="0" xfId="2" applyFont="1"/>
    <xf numFmtId="0" fontId="11" fillId="0" borderId="0" xfId="2" applyFont="1"/>
    <xf numFmtId="0" fontId="7" fillId="4" borderId="0" xfId="2" applyFill="1"/>
    <xf numFmtId="0" fontId="6" fillId="0" borderId="0" xfId="2" applyFont="1"/>
    <xf numFmtId="168" fontId="7" fillId="0" borderId="0" xfId="2" applyNumberFormat="1"/>
    <xf numFmtId="0" fontId="5" fillId="0" borderId="0" xfId="2" applyFont="1"/>
    <xf numFmtId="0" fontId="2" fillId="0" borderId="0" xfId="2" applyFont="1"/>
    <xf numFmtId="0" fontId="1" fillId="6" borderId="14" xfId="2" applyFont="1" applyFill="1" applyBorder="1" applyAlignment="1">
      <alignment horizontal="center"/>
    </xf>
    <xf numFmtId="0" fontId="7" fillId="6" borderId="15" xfId="2" applyFill="1" applyBorder="1" applyAlignment="1">
      <alignment horizontal="center"/>
    </xf>
    <xf numFmtId="0" fontId="7" fillId="6" borderId="16" xfId="2" applyFill="1" applyBorder="1" applyAlignment="1">
      <alignment horizontal="center"/>
    </xf>
    <xf numFmtId="0" fontId="12" fillId="6" borderId="14" xfId="2" applyFont="1" applyFill="1" applyBorder="1" applyAlignment="1">
      <alignment horizontal="center"/>
    </xf>
    <xf numFmtId="0" fontId="12" fillId="6" borderId="15" xfId="2" applyFont="1" applyFill="1" applyBorder="1" applyAlignment="1">
      <alignment horizontal="center"/>
    </xf>
    <xf numFmtId="0" fontId="14" fillId="6" borderId="15" xfId="2" applyFont="1" applyFill="1" applyBorder="1" applyAlignment="1">
      <alignment horizontal="center"/>
    </xf>
    <xf numFmtId="0" fontId="12" fillId="6" borderId="17" xfId="2" applyFont="1" applyFill="1" applyBorder="1" applyAlignment="1">
      <alignment horizontal="center"/>
    </xf>
    <xf numFmtId="0" fontId="7" fillId="6" borderId="0" xfId="2" applyFill="1" applyAlignment="1">
      <alignment horizontal="center"/>
    </xf>
    <xf numFmtId="169" fontId="7" fillId="3" borderId="14" xfId="2" applyNumberFormat="1" applyFill="1" applyBorder="1" applyAlignment="1">
      <alignment horizontal="center"/>
    </xf>
    <xf numFmtId="167" fontId="7" fillId="3" borderId="15" xfId="2" applyNumberFormat="1" applyFill="1" applyBorder="1" applyAlignment="1">
      <alignment horizontal="center"/>
    </xf>
    <xf numFmtId="0" fontId="7" fillId="3" borderId="15" xfId="2" applyFill="1" applyBorder="1" applyAlignment="1">
      <alignment horizontal="center"/>
    </xf>
    <xf numFmtId="165" fontId="7" fillId="3" borderId="15" xfId="2" applyNumberFormat="1" applyFill="1" applyBorder="1" applyAlignment="1">
      <alignment horizontal="center"/>
    </xf>
    <xf numFmtId="169" fontId="7" fillId="3" borderId="17" xfId="2" applyNumberFormat="1" applyFill="1" applyBorder="1" applyAlignment="1">
      <alignment horizontal="center"/>
    </xf>
    <xf numFmtId="0" fontId="1" fillId="6" borderId="20" xfId="2" applyFont="1" applyFill="1" applyBorder="1" applyAlignment="1">
      <alignment horizontal="center"/>
    </xf>
    <xf numFmtId="11" fontId="7" fillId="6" borderId="21" xfId="2" applyNumberFormat="1" applyFill="1" applyBorder="1" applyAlignment="1">
      <alignment horizontal="center"/>
    </xf>
    <xf numFmtId="0" fontId="7" fillId="6" borderId="22" xfId="2" applyFill="1" applyBorder="1" applyAlignment="1">
      <alignment horizontal="center"/>
    </xf>
    <xf numFmtId="0" fontId="7" fillId="6" borderId="20" xfId="2" applyFill="1" applyBorder="1" applyAlignment="1">
      <alignment horizontal="center"/>
    </xf>
    <xf numFmtId="0" fontId="7" fillId="6" borderId="21" xfId="2" applyFill="1" applyBorder="1" applyAlignment="1">
      <alignment horizontal="center"/>
    </xf>
    <xf numFmtId="0" fontId="7" fillId="6" borderId="23" xfId="2" applyFill="1" applyBorder="1" applyAlignment="1">
      <alignment horizontal="center"/>
    </xf>
    <xf numFmtId="164" fontId="7" fillId="0" borderId="0" xfId="2" applyNumberFormat="1" applyAlignment="1">
      <alignment horizontal="center"/>
    </xf>
    <xf numFmtId="0" fontId="7" fillId="6" borderId="0" xfId="2" applyFill="1" applyAlignment="1">
      <alignment horizontal="left"/>
    </xf>
    <xf numFmtId="169" fontId="7" fillId="0" borderId="0" xfId="2" applyNumberFormat="1" applyAlignment="1">
      <alignment horizontal="center"/>
    </xf>
    <xf numFmtId="0" fontId="7" fillId="6" borderId="0" xfId="2" applyFill="1"/>
    <xf numFmtId="1" fontId="7" fillId="0" borderId="0" xfId="2" applyNumberFormat="1" applyAlignment="1">
      <alignment horizontal="center"/>
    </xf>
    <xf numFmtId="0" fontId="1" fillId="0" borderId="0" xfId="2" applyFont="1" applyAlignment="1">
      <alignment horizontal="left" vertical="top" wrapText="1"/>
    </xf>
    <xf numFmtId="0" fontId="1" fillId="6" borderId="0" xfId="2" applyFont="1" applyFill="1" applyAlignment="1">
      <alignment horizontal="left"/>
    </xf>
    <xf numFmtId="11" fontId="7" fillId="0" borderId="0" xfId="2" applyNumberFormat="1" applyAlignment="1">
      <alignment horizontal="center"/>
    </xf>
    <xf numFmtId="2" fontId="7" fillId="0" borderId="0" xfId="2" applyNumberFormat="1" applyAlignment="1">
      <alignment horizontal="center"/>
    </xf>
    <xf numFmtId="0" fontId="5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6" fillId="0" borderId="13" xfId="2" applyFont="1" applyBorder="1" applyAlignment="1">
      <alignment horizontal="center"/>
    </xf>
    <xf numFmtId="0" fontId="7" fillId="0" borderId="12" xfId="2" applyBorder="1"/>
    <xf numFmtId="170" fontId="7" fillId="0" borderId="0" xfId="2" applyNumberFormat="1" applyAlignment="1">
      <alignment horizontal="center"/>
    </xf>
    <xf numFmtId="11" fontId="7" fillId="0" borderId="19" xfId="2" applyNumberFormat="1" applyBorder="1"/>
    <xf numFmtId="11" fontId="7" fillId="0" borderId="26" xfId="2" applyNumberFormat="1" applyBorder="1"/>
    <xf numFmtId="0" fontId="7" fillId="0" borderId="0" xfId="2" applyAlignment="1">
      <alignment vertical="center"/>
    </xf>
    <xf numFmtId="169" fontId="7" fillId="0" borderId="0" xfId="2" applyNumberFormat="1"/>
    <xf numFmtId="0" fontId="20" fillId="0" borderId="0" xfId="0" applyFont="1" applyAlignment="1">
      <alignment vertical="center"/>
    </xf>
    <xf numFmtId="11" fontId="7" fillId="0" borderId="0" xfId="2" applyNumberFormat="1"/>
    <xf numFmtId="0" fontId="7" fillId="0" borderId="0" xfId="2" applyAlignment="1">
      <alignment horizontal="left"/>
    </xf>
    <xf numFmtId="0" fontId="7" fillId="6" borderId="27" xfId="2" applyFill="1" applyBorder="1" applyAlignment="1">
      <alignment horizontal="center"/>
    </xf>
    <xf numFmtId="164" fontId="7" fillId="3" borderId="27" xfId="2" applyNumberFormat="1" applyFill="1" applyBorder="1" applyAlignment="1">
      <alignment horizontal="center"/>
    </xf>
    <xf numFmtId="0" fontId="7" fillId="5" borderId="0" xfId="2" applyFill="1"/>
    <xf numFmtId="0" fontId="7" fillId="3" borderId="14" xfId="2" applyFill="1" applyBorder="1" applyAlignment="1">
      <alignment horizontal="center"/>
    </xf>
    <xf numFmtId="11" fontId="7" fillId="3" borderId="15" xfId="2" applyNumberFormat="1" applyFill="1" applyBorder="1" applyAlignment="1">
      <alignment horizontal="center"/>
    </xf>
    <xf numFmtId="168" fontId="7" fillId="3" borderId="15" xfId="2" applyNumberFormat="1" applyFill="1" applyBorder="1" applyAlignment="1">
      <alignment horizontal="center"/>
    </xf>
    <xf numFmtId="0" fontId="7" fillId="3" borderId="16" xfId="2" applyFill="1" applyBorder="1" applyAlignment="1">
      <alignment horizontal="center"/>
    </xf>
    <xf numFmtId="0" fontId="7" fillId="0" borderId="0" xfId="2" applyAlignment="1">
      <alignment horizontal="left" vertical="top" wrapText="1"/>
    </xf>
    <xf numFmtId="0" fontId="7" fillId="0" borderId="0" xfId="2" applyAlignment="1">
      <alignment horizontal="right"/>
    </xf>
    <xf numFmtId="0" fontId="23" fillId="0" borderId="0" xfId="2" applyFont="1"/>
    <xf numFmtId="165" fontId="23" fillId="2" borderId="0" xfId="2" applyNumberFormat="1" applyFont="1" applyFill="1"/>
    <xf numFmtId="165" fontId="23" fillId="0" borderId="0" xfId="2" applyNumberFormat="1" applyFont="1"/>
    <xf numFmtId="0" fontId="20" fillId="0" borderId="25" xfId="2" applyFont="1" applyBorder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2" fontId="23" fillId="2" borderId="0" xfId="2" applyNumberFormat="1" applyFont="1" applyFill="1"/>
    <xf numFmtId="2" fontId="23" fillId="0" borderId="4" xfId="2" applyNumberFormat="1" applyFont="1" applyBorder="1"/>
    <xf numFmtId="2" fontId="23" fillId="0" borderId="3" xfId="2" applyNumberFormat="1" applyFont="1" applyBorder="1"/>
    <xf numFmtId="0" fontId="20" fillId="0" borderId="24" xfId="2" applyFont="1" applyBorder="1" applyAlignment="1">
      <alignment horizontal="center" vertical="center" wrapText="1"/>
    </xf>
    <xf numFmtId="0" fontId="20" fillId="0" borderId="28" xfId="2" applyFont="1" applyBorder="1" applyAlignment="1">
      <alignment horizontal="center" vertical="center" wrapText="1"/>
    </xf>
    <xf numFmtId="2" fontId="7" fillId="2" borderId="0" xfId="2" applyNumberFormat="1" applyFill="1"/>
    <xf numFmtId="0" fontId="23" fillId="0" borderId="6" xfId="2" applyFont="1" applyBorder="1"/>
    <xf numFmtId="0" fontId="23" fillId="0" borderId="5" xfId="2" applyFont="1" applyBorder="1"/>
    <xf numFmtId="0" fontId="20" fillId="0" borderId="29" xfId="2" applyFont="1" applyBorder="1" applyAlignment="1">
      <alignment horizontal="center" vertical="center" wrapText="1"/>
    </xf>
    <xf numFmtId="0" fontId="20" fillId="0" borderId="30" xfId="2" applyFont="1" applyBorder="1" applyAlignment="1">
      <alignment horizontal="center" vertical="center" wrapText="1"/>
    </xf>
    <xf numFmtId="0" fontId="20" fillId="0" borderId="31" xfId="2" applyFont="1" applyBorder="1" applyAlignment="1">
      <alignment horizontal="center" vertical="center" wrapText="1"/>
    </xf>
    <xf numFmtId="0" fontId="23" fillId="0" borderId="2" xfId="2" applyFont="1" applyBorder="1"/>
    <xf numFmtId="0" fontId="23" fillId="0" borderId="1" xfId="2" applyFont="1" applyBorder="1"/>
    <xf numFmtId="0" fontId="24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27" fillId="3" borderId="14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center"/>
    </xf>
    <xf numFmtId="0" fontId="27" fillId="0" borderId="0" xfId="2" applyFont="1" applyAlignment="1">
      <alignment horizontal="center"/>
    </xf>
    <xf numFmtId="171" fontId="7" fillId="0" borderId="0" xfId="2" applyNumberFormat="1" applyAlignment="1">
      <alignment horizontal="center"/>
    </xf>
    <xf numFmtId="12" fontId="7" fillId="0" borderId="18" xfId="2" applyNumberFormat="1" applyBorder="1"/>
    <xf numFmtId="12" fontId="7" fillId="0" borderId="25" xfId="2" applyNumberFormat="1" applyBorder="1"/>
    <xf numFmtId="0" fontId="3" fillId="0" borderId="0" xfId="2" applyFont="1"/>
    <xf numFmtId="172" fontId="7" fillId="0" borderId="0" xfId="2" applyNumberFormat="1"/>
    <xf numFmtId="166" fontId="7" fillId="0" borderId="0" xfId="2" applyNumberFormat="1" applyAlignment="1">
      <alignment horizontal="center"/>
    </xf>
    <xf numFmtId="9" fontId="7" fillId="0" borderId="0" xfId="2" applyNumberFormat="1" applyAlignment="1">
      <alignment horizontal="center"/>
    </xf>
    <xf numFmtId="0" fontId="7" fillId="0" borderId="13" xfId="2" applyBorder="1"/>
    <xf numFmtId="0" fontId="7" fillId="0" borderId="11" xfId="2" applyBorder="1"/>
    <xf numFmtId="0" fontId="12" fillId="0" borderId="0" xfId="2" applyFont="1" applyAlignment="1">
      <alignment horizontal="center"/>
    </xf>
    <xf numFmtId="0" fontId="12" fillId="0" borderId="18" xfId="2" applyFont="1" applyBorder="1" applyAlignment="1">
      <alignment horizontal="center"/>
    </xf>
    <xf numFmtId="0" fontId="7" fillId="0" borderId="19" xfId="2" applyBorder="1" applyAlignment="1">
      <alignment horizontal="center"/>
    </xf>
    <xf numFmtId="0" fontId="7" fillId="0" borderId="18" xfId="2" applyBorder="1" applyAlignment="1">
      <alignment horizontal="center"/>
    </xf>
    <xf numFmtId="169" fontId="7" fillId="0" borderId="19" xfId="2" applyNumberFormat="1" applyBorder="1" applyAlignment="1">
      <alignment horizontal="center"/>
    </xf>
    <xf numFmtId="1" fontId="19" fillId="0" borderId="18" xfId="2" applyNumberFormat="1" applyFont="1" applyBorder="1" applyAlignment="1">
      <alignment horizontal="center"/>
    </xf>
    <xf numFmtId="1" fontId="15" fillId="0" borderId="18" xfId="2" applyNumberFormat="1" applyFont="1" applyBorder="1" applyAlignment="1">
      <alignment horizontal="center"/>
    </xf>
    <xf numFmtId="1" fontId="28" fillId="0" borderId="18" xfId="2" applyNumberFormat="1" applyFont="1" applyBorder="1" applyAlignment="1">
      <alignment horizontal="center"/>
    </xf>
    <xf numFmtId="0" fontId="7" fillId="0" borderId="24" xfId="2" applyBorder="1" applyAlignment="1">
      <alignment horizontal="center"/>
    </xf>
    <xf numFmtId="0" fontId="7" fillId="0" borderId="25" xfId="2" applyBorder="1" applyAlignment="1">
      <alignment horizontal="center"/>
    </xf>
    <xf numFmtId="169" fontId="7" fillId="0" borderId="26" xfId="2" applyNumberFormat="1" applyBorder="1" applyAlignment="1">
      <alignment horizontal="center"/>
    </xf>
    <xf numFmtId="169" fontId="7" fillId="0" borderId="24" xfId="2" applyNumberFormat="1" applyBorder="1" applyAlignment="1">
      <alignment horizontal="center"/>
    </xf>
    <xf numFmtId="169" fontId="7" fillId="0" borderId="25" xfId="2" applyNumberFormat="1" applyBorder="1" applyAlignment="1">
      <alignment horizontal="center"/>
    </xf>
    <xf numFmtId="0" fontId="20" fillId="0" borderId="0" xfId="0" applyFont="1" applyAlignment="1">
      <alignment horizontal="justify" vertical="center"/>
    </xf>
    <xf numFmtId="0" fontId="7" fillId="0" borderId="11" xfId="2" applyBorder="1" applyAlignment="1">
      <alignment horizontal="center"/>
    </xf>
    <xf numFmtId="0" fontId="7" fillId="0" borderId="12" xfId="2" applyBorder="1" applyAlignment="1">
      <alignment horizontal="center"/>
    </xf>
    <xf numFmtId="0" fontId="20" fillId="0" borderId="0" xfId="0" applyFont="1"/>
    <xf numFmtId="1" fontId="7" fillId="0" borderId="0" xfId="2" applyNumberFormat="1"/>
    <xf numFmtId="166" fontId="7" fillId="0" borderId="0" xfId="2" applyNumberFormat="1"/>
    <xf numFmtId="0" fontId="7" fillId="0" borderId="19" xfId="2" applyBorder="1"/>
    <xf numFmtId="0" fontId="7" fillId="0" borderId="18" xfId="2" applyBorder="1"/>
    <xf numFmtId="0" fontId="7" fillId="0" borderId="26" xfId="2" applyBorder="1"/>
    <xf numFmtId="0" fontId="7" fillId="0" borderId="24" xfId="2" applyBorder="1"/>
    <xf numFmtId="2" fontId="7" fillId="0" borderId="24" xfId="2" applyNumberFormat="1" applyBorder="1"/>
    <xf numFmtId="0" fontId="7" fillId="0" borderId="25" xfId="2" applyBorder="1"/>
    <xf numFmtId="10" fontId="7" fillId="0" borderId="0" xfId="2" applyNumberFormat="1" applyAlignment="1">
      <alignment horizontal="center"/>
    </xf>
    <xf numFmtId="167" fontId="7" fillId="0" borderId="0" xfId="2" applyNumberFormat="1" applyAlignment="1">
      <alignment horizontal="center"/>
    </xf>
    <xf numFmtId="0" fontId="7" fillId="0" borderId="13" xfId="2" applyBorder="1" applyAlignment="1">
      <alignment horizontal="center"/>
    </xf>
    <xf numFmtId="10" fontId="7" fillId="0" borderId="25" xfId="2" applyNumberFormat="1" applyBorder="1" applyAlignment="1">
      <alignment horizontal="center"/>
    </xf>
    <xf numFmtId="10" fontId="7" fillId="0" borderId="12" xfId="2" applyNumberFormat="1" applyBorder="1" applyAlignment="1">
      <alignment horizontal="center"/>
    </xf>
    <xf numFmtId="0" fontId="7" fillId="0" borderId="13" xfId="2" applyBorder="1" applyAlignment="1">
      <alignment vertical="center" wrapText="1"/>
    </xf>
    <xf numFmtId="0" fontId="7" fillId="0" borderId="11" xfId="2" applyBorder="1" applyAlignment="1">
      <alignment vertical="center" wrapText="1"/>
    </xf>
    <xf numFmtId="0" fontId="7" fillId="0" borderId="12" xfId="2" applyBorder="1" applyAlignment="1">
      <alignment vertical="center" wrapText="1"/>
    </xf>
    <xf numFmtId="0" fontId="7" fillId="3" borderId="26" xfId="2" applyFill="1" applyBorder="1" applyAlignment="1">
      <alignment vertical="center" wrapText="1"/>
    </xf>
    <xf numFmtId="0" fontId="7" fillId="3" borderId="24" xfId="2" applyFill="1" applyBorder="1" applyAlignment="1">
      <alignment vertical="center" wrapText="1"/>
    </xf>
    <xf numFmtId="0" fontId="7" fillId="3" borderId="25" xfId="2" applyFill="1" applyBorder="1" applyAlignment="1">
      <alignment vertical="center" wrapText="1"/>
    </xf>
    <xf numFmtId="0" fontId="11" fillId="0" borderId="0" xfId="2" applyFont="1" applyAlignment="1">
      <alignment horizontal="center"/>
    </xf>
    <xf numFmtId="0" fontId="7" fillId="6" borderId="7" xfId="2" applyFill="1" applyBorder="1" applyAlignment="1">
      <alignment horizontal="center"/>
    </xf>
    <xf numFmtId="0" fontId="7" fillId="6" borderId="8" xfId="2" applyFill="1" applyBorder="1" applyAlignment="1">
      <alignment horizontal="center"/>
    </xf>
    <xf numFmtId="0" fontId="7" fillId="6" borderId="9" xfId="2" applyFill="1" applyBorder="1" applyAlignment="1">
      <alignment horizontal="center"/>
    </xf>
    <xf numFmtId="0" fontId="7" fillId="6" borderId="10" xfId="2" applyFill="1" applyBorder="1" applyAlignment="1">
      <alignment horizontal="center"/>
    </xf>
    <xf numFmtId="0" fontId="7" fillId="0" borderId="11" xfId="2" applyBorder="1" applyAlignment="1">
      <alignment horizontal="center"/>
    </xf>
    <xf numFmtId="0" fontId="7" fillId="0" borderId="12" xfId="2" applyBorder="1" applyAlignment="1">
      <alignment horizontal="center"/>
    </xf>
    <xf numFmtId="0" fontId="20" fillId="0" borderId="0" xfId="0" applyFont="1" applyAlignment="1">
      <alignment horizontal="justify" vertical="center"/>
    </xf>
    <xf numFmtId="0" fontId="0" fillId="0" borderId="0" xfId="0"/>
  </cellXfs>
  <cellStyles count="3">
    <cellStyle name="Normal 2" xfId="1" xr:uid="{00000000-0005-0000-0000-000001000000}"/>
    <cellStyle name="Normal 3" xfId="2" xr:uid="{00000000-0005-0000-0000-000002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analysis'!$B$6:$B$11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'data analysis'!$D$6:$D$11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03-43BD-803F-C020991D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768896"/>
        <c:axId val="1149070496"/>
      </c:scatterChart>
      <c:valAx>
        <c:axId val="98476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70496"/>
        <c:crosses val="autoZero"/>
        <c:crossBetween val="midCat"/>
      </c:valAx>
      <c:valAx>
        <c:axId val="11490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6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387569</xdr:colOff>
      <xdr:row>17</xdr:row>
      <xdr:rowOff>1</xdr:rowOff>
    </xdr:from>
    <xdr:to>
      <xdr:col>8</xdr:col>
      <xdr:colOff>65033</xdr:colOff>
      <xdr:row>32</xdr:row>
      <xdr:rowOff>2629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268E3-3039-4229-8A2F-D138D65BD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zoomScale="85" zoomScaleNormal="85" workbookViewId="0">
      <selection activeCell="B45" sqref="B45"/>
    </sheetView>
  </sheetViews>
  <sheetFormatPr defaultColWidth="9.01171875" defaultRowHeight="13.5" x14ac:dyDescent="0.15"/>
  <cols>
    <col min="1" max="1" width="9.01171875" style="1"/>
    <col min="2" max="2" width="22.328125" style="1" customWidth="1"/>
    <col min="3" max="3" width="16.94921875" style="1" customWidth="1"/>
    <col min="4" max="4" width="11.02734375" style="1" customWidth="1"/>
    <col min="5" max="5" width="9.953125" style="1" customWidth="1"/>
    <col min="6" max="6" width="10.35546875" style="1" customWidth="1"/>
    <col min="7" max="7" width="10.89453125" style="1" bestFit="1" customWidth="1"/>
    <col min="8" max="8" width="9.01171875" style="1"/>
    <col min="9" max="9" width="9.81640625" style="1" customWidth="1"/>
    <col min="10" max="10" width="12.375" style="1" customWidth="1"/>
    <col min="11" max="11" width="16.94921875" style="1" customWidth="1"/>
    <col min="12" max="13" width="13.71875" style="1" customWidth="1"/>
    <col min="14" max="14" width="9.01171875" style="1"/>
    <col min="15" max="15" width="9.01171875" style="1" bestFit="1" customWidth="1"/>
    <col min="16" max="16" width="9.01171875" style="1"/>
    <col min="17" max="17" width="9.953125" style="1" customWidth="1"/>
    <col min="18" max="16384" width="9.01171875" style="1"/>
  </cols>
  <sheetData>
    <row r="1" spans="1:16" ht="18" x14ac:dyDescent="0.2">
      <c r="A1" s="9" t="s">
        <v>20</v>
      </c>
    </row>
    <row r="2" spans="1:16" ht="14.25" x14ac:dyDescent="0.15">
      <c r="A2" s="10" t="s">
        <v>21</v>
      </c>
    </row>
    <row r="3" spans="1:16" x14ac:dyDescent="0.15">
      <c r="A3" s="11" t="s">
        <v>22</v>
      </c>
      <c r="B3" s="11"/>
      <c r="C3" s="11" t="s">
        <v>23</v>
      </c>
      <c r="D3" s="134" t="s">
        <v>24</v>
      </c>
      <c r="E3" s="134"/>
      <c r="F3" s="134"/>
      <c r="G3" s="12" t="s">
        <v>25</v>
      </c>
      <c r="H3" s="11" t="s">
        <v>115</v>
      </c>
      <c r="I3" s="1" t="s">
        <v>97</v>
      </c>
      <c r="J3" s="53">
        <f>O20</f>
        <v>5.7735026568079629E-3</v>
      </c>
      <c r="K3" s="1" t="s">
        <v>110</v>
      </c>
      <c r="L3" s="1" t="s">
        <v>98</v>
      </c>
      <c r="M3" s="53">
        <f>O21</f>
        <v>3.4641015940847772E-2</v>
      </c>
      <c r="N3" s="1" t="s">
        <v>110</v>
      </c>
    </row>
    <row r="4" spans="1:16" ht="14.25" x14ac:dyDescent="0.2">
      <c r="B4" s="84" t="s">
        <v>99</v>
      </c>
      <c r="C4" s="1" t="s">
        <v>26</v>
      </c>
      <c r="E4" s="1">
        <v>1</v>
      </c>
      <c r="F4" s="13" t="s">
        <v>68</v>
      </c>
      <c r="G4" s="12"/>
      <c r="H4" s="92" t="s">
        <v>103</v>
      </c>
      <c r="I4" s="1" t="s">
        <v>97</v>
      </c>
      <c r="J4" s="53">
        <f>O22</f>
        <v>4.6215732941539663E-3</v>
      </c>
      <c r="K4" s="1" t="s">
        <v>110</v>
      </c>
      <c r="L4" s="1" t="s">
        <v>100</v>
      </c>
      <c r="M4" s="53">
        <f>O23</f>
        <v>2.3107866470769831E-2</v>
      </c>
      <c r="N4" s="1" t="s">
        <v>110</v>
      </c>
    </row>
    <row r="5" spans="1:16" x14ac:dyDescent="0.15">
      <c r="A5" s="11"/>
      <c r="C5" s="1" t="s">
        <v>27</v>
      </c>
      <c r="D5" s="1" t="s">
        <v>114</v>
      </c>
      <c r="E5" s="1">
        <v>3</v>
      </c>
      <c r="F5" s="1" t="s">
        <v>67</v>
      </c>
      <c r="G5" s="59" t="s">
        <v>28</v>
      </c>
      <c r="I5" s="1" t="s">
        <v>109</v>
      </c>
      <c r="J5" s="93">
        <f>B25</f>
        <v>4.0023999999999997</v>
      </c>
      <c r="K5" s="1" t="s">
        <v>110</v>
      </c>
    </row>
    <row r="6" spans="1:16" x14ac:dyDescent="0.15">
      <c r="A6" s="11"/>
      <c r="C6" s="1" t="s">
        <v>27</v>
      </c>
      <c r="D6" s="1" t="s">
        <v>1</v>
      </c>
      <c r="E6" s="2">
        <f>SQRT(E5)</f>
        <v>1.7320508075688772</v>
      </c>
      <c r="F6" s="1" t="s">
        <v>68</v>
      </c>
      <c r="G6" s="12" t="s">
        <v>29</v>
      </c>
      <c r="I6" s="1" t="s">
        <v>101</v>
      </c>
      <c r="J6" s="53">
        <f>M26</f>
        <v>4.2292620525174407E-2</v>
      </c>
      <c r="K6" s="1" t="s">
        <v>110</v>
      </c>
      <c r="L6" s="1" t="s">
        <v>102</v>
      </c>
      <c r="M6" s="53">
        <f>M30</f>
        <v>8.2892013041161283E-2</v>
      </c>
      <c r="N6" s="1" t="s">
        <v>110</v>
      </c>
      <c r="P6" s="55"/>
    </row>
    <row r="7" spans="1:16" x14ac:dyDescent="0.15">
      <c r="A7" s="11"/>
      <c r="C7" s="1" t="s">
        <v>0</v>
      </c>
      <c r="E7" s="1">
        <v>20012</v>
      </c>
      <c r="F7" s="1" t="s">
        <v>73</v>
      </c>
      <c r="G7" s="59" t="s">
        <v>31</v>
      </c>
      <c r="H7" s="1" t="s">
        <v>30</v>
      </c>
      <c r="I7" s="14" t="str">
        <f>C20</f>
        <v>resolution</v>
      </c>
      <c r="J7" s="1" t="s">
        <v>103</v>
      </c>
    </row>
    <row r="8" spans="1:16" x14ac:dyDescent="0.15">
      <c r="C8" s="1" t="s">
        <v>0</v>
      </c>
      <c r="E8" s="1">
        <f>E7/100</f>
        <v>200.12</v>
      </c>
      <c r="F8" s="1" t="s">
        <v>68</v>
      </c>
      <c r="H8" s="1" t="s">
        <v>32</v>
      </c>
      <c r="I8" s="1" t="s">
        <v>104</v>
      </c>
      <c r="J8" s="1" t="s">
        <v>105</v>
      </c>
    </row>
    <row r="9" spans="1:16" x14ac:dyDescent="0.15">
      <c r="B9" s="85" t="s">
        <v>103</v>
      </c>
      <c r="E9" s="7"/>
      <c r="F9" s="15"/>
    </row>
    <row r="10" spans="1:16" ht="14.25" x14ac:dyDescent="0.2">
      <c r="C10" s="1" t="s">
        <v>26</v>
      </c>
      <c r="E10" s="1">
        <v>0.2</v>
      </c>
      <c r="F10" s="13" t="s">
        <v>69</v>
      </c>
    </row>
    <row r="11" spans="1:16" x14ac:dyDescent="0.15">
      <c r="C11" s="1" t="s">
        <v>113</v>
      </c>
      <c r="D11" s="1" t="s">
        <v>106</v>
      </c>
      <c r="E11" s="1">
        <f>1%*E12</f>
        <v>0.5</v>
      </c>
      <c r="F11" s="1" t="s">
        <v>69</v>
      </c>
    </row>
    <row r="12" spans="1:16" x14ac:dyDescent="0.15">
      <c r="C12" s="1" t="s">
        <v>33</v>
      </c>
      <c r="E12" s="1">
        <v>50</v>
      </c>
      <c r="F12" s="1" t="s">
        <v>69</v>
      </c>
    </row>
    <row r="13" spans="1:16" x14ac:dyDescent="0.15">
      <c r="A13" s="16"/>
    </row>
    <row r="14" spans="1:16" x14ac:dyDescent="0.15">
      <c r="A14" s="11" t="s">
        <v>34</v>
      </c>
      <c r="C14" s="1" t="s">
        <v>107</v>
      </c>
    </row>
    <row r="17" spans="1:22" ht="14.25" thickBot="1" x14ac:dyDescent="0.2"/>
    <row r="18" spans="1:22" ht="15.75" x14ac:dyDescent="0.25">
      <c r="A18" s="135" t="s">
        <v>35</v>
      </c>
      <c r="B18" s="136"/>
      <c r="C18" s="137"/>
      <c r="D18" s="135" t="s">
        <v>36</v>
      </c>
      <c r="E18" s="136"/>
      <c r="F18" s="136"/>
      <c r="G18" s="136"/>
      <c r="H18" s="138"/>
      <c r="I18" s="139" t="s">
        <v>37</v>
      </c>
      <c r="J18" s="140"/>
      <c r="K18" s="96"/>
      <c r="L18" s="97"/>
      <c r="M18" s="97"/>
      <c r="N18" s="48"/>
    </row>
    <row r="19" spans="1:22" ht="15.75" x14ac:dyDescent="0.25">
      <c r="A19" s="17" t="s">
        <v>38</v>
      </c>
      <c r="B19" s="18" t="s">
        <v>24</v>
      </c>
      <c r="C19" s="19" t="s">
        <v>39</v>
      </c>
      <c r="D19" s="20" t="s">
        <v>40</v>
      </c>
      <c r="E19" s="21" t="s">
        <v>41</v>
      </c>
      <c r="F19" s="22" t="s">
        <v>42</v>
      </c>
      <c r="G19" s="21" t="s">
        <v>43</v>
      </c>
      <c r="H19" s="23" t="s">
        <v>44</v>
      </c>
      <c r="I19" s="98" t="s">
        <v>45</v>
      </c>
      <c r="J19" s="99" t="s">
        <v>46</v>
      </c>
      <c r="K19" s="100" t="s">
        <v>47</v>
      </c>
      <c r="L19" s="98" t="s">
        <v>48</v>
      </c>
      <c r="M19" s="3" t="s">
        <v>49</v>
      </c>
      <c r="N19" s="101" t="s">
        <v>50</v>
      </c>
      <c r="O19" s="24" t="s">
        <v>51</v>
      </c>
    </row>
    <row r="20" spans="1:22" x14ac:dyDescent="0.15">
      <c r="A20" s="86" t="s">
        <v>108</v>
      </c>
      <c r="B20" s="61">
        <f>E8</f>
        <v>200.12</v>
      </c>
      <c r="C20" s="62" t="s">
        <v>26</v>
      </c>
      <c r="D20" s="25"/>
      <c r="E20" s="26"/>
      <c r="F20" s="27"/>
      <c r="G20" s="28"/>
      <c r="H20" s="29"/>
      <c r="I20" s="38">
        <f>E4/2</f>
        <v>0.5</v>
      </c>
      <c r="J20" s="101">
        <v>3</v>
      </c>
      <c r="K20" s="102">
        <f>(H20^2+I20^2/J20)</f>
        <v>8.3333333333333329E-2</v>
      </c>
      <c r="L20" s="38">
        <f>F36</f>
        <v>1.9999999878450581E-2</v>
      </c>
      <c r="M20" s="38">
        <f>L20^2*K20</f>
        <v>3.3333332928168603E-5</v>
      </c>
      <c r="N20" s="103">
        <f>RANK(M20,$M$20:$M$23)</f>
        <v>3</v>
      </c>
      <c r="O20" s="53">
        <f>SQRT(M20)</f>
        <v>5.7735026568079629E-3</v>
      </c>
    </row>
    <row r="21" spans="1:22" x14ac:dyDescent="0.15">
      <c r="A21" s="60"/>
      <c r="B21" s="61"/>
      <c r="C21" s="27" t="s">
        <v>52</v>
      </c>
      <c r="D21" s="25"/>
      <c r="E21" s="26"/>
      <c r="F21" s="27"/>
      <c r="G21" s="28"/>
      <c r="H21" s="29">
        <f>E6</f>
        <v>1.7320508075688772</v>
      </c>
      <c r="I21" s="38"/>
      <c r="J21" s="101">
        <v>3</v>
      </c>
      <c r="K21" s="102">
        <f>(H21^2+I21^2/J21)</f>
        <v>2.9999999999999996</v>
      </c>
      <c r="L21" s="38">
        <f>L20</f>
        <v>1.9999999878450581E-2</v>
      </c>
      <c r="M21" s="38">
        <f>L21^2*K21</f>
        <v>1.1999999854140696E-3</v>
      </c>
      <c r="N21" s="104">
        <f>RANK(M21,$M$20:$M$23)</f>
        <v>1</v>
      </c>
      <c r="O21" s="53">
        <f t="shared" ref="O21:O23" si="0">SQRT(M21)</f>
        <v>3.4641015940847772E-2</v>
      </c>
    </row>
    <row r="22" spans="1:22" x14ac:dyDescent="0.15">
      <c r="A22" s="87" t="s">
        <v>103</v>
      </c>
      <c r="B22" s="61">
        <f>E12</f>
        <v>50</v>
      </c>
      <c r="C22" s="62" t="s">
        <v>26</v>
      </c>
      <c r="D22" s="25"/>
      <c r="E22" s="26"/>
      <c r="F22" s="27"/>
      <c r="G22" s="28"/>
      <c r="H22" s="29"/>
      <c r="I22" s="38">
        <f>E10/2</f>
        <v>0.1</v>
      </c>
      <c r="J22" s="101">
        <v>3</v>
      </c>
      <c r="K22" s="102">
        <f>(H22^2+I22^2/J22)</f>
        <v>3.333333333333334E-3</v>
      </c>
      <c r="L22" s="38">
        <f>F37</f>
        <v>-8.0047997563781337E-2</v>
      </c>
      <c r="M22" s="38">
        <f>L22^2*K22</f>
        <v>2.1358939713237147E-5</v>
      </c>
      <c r="N22" s="105">
        <f>RANK(M22,$M$20:$M$23)</f>
        <v>4</v>
      </c>
      <c r="O22" s="53">
        <f t="shared" si="0"/>
        <v>4.6215732941539663E-3</v>
      </c>
    </row>
    <row r="23" spans="1:22" x14ac:dyDescent="0.15">
      <c r="A23" s="60"/>
      <c r="B23" s="61"/>
      <c r="C23" s="63" t="s">
        <v>53</v>
      </c>
      <c r="D23" s="25"/>
      <c r="E23" s="26"/>
      <c r="F23" s="27"/>
      <c r="G23" s="28"/>
      <c r="H23" s="29"/>
      <c r="I23" s="38">
        <f>E11</f>
        <v>0.5</v>
      </c>
      <c r="J23" s="101">
        <v>3</v>
      </c>
      <c r="K23" s="102">
        <f>(H23^2+I23^2/J23)</f>
        <v>8.3333333333333329E-2</v>
      </c>
      <c r="L23" s="38">
        <f>L22</f>
        <v>-8.0047997563781337E-2</v>
      </c>
      <c r="M23" s="38">
        <f>L23^2*K23</f>
        <v>5.339734928309285E-4</v>
      </c>
      <c r="N23" s="103">
        <f>RANK(M23,$M$20:$M$23)</f>
        <v>2</v>
      </c>
      <c r="O23" s="53">
        <f t="shared" si="0"/>
        <v>2.3107866470769831E-2</v>
      </c>
    </row>
    <row r="24" spans="1:22" ht="14.25" thickBot="1" x14ac:dyDescent="0.2">
      <c r="A24" s="30"/>
      <c r="B24" s="31"/>
      <c r="C24" s="32"/>
      <c r="D24" s="33"/>
      <c r="E24" s="34"/>
      <c r="F24" s="34"/>
      <c r="G24" s="34"/>
      <c r="H24" s="35"/>
      <c r="I24" s="106"/>
      <c r="J24" s="107"/>
      <c r="K24" s="108"/>
      <c r="L24" s="109"/>
      <c r="M24" s="109"/>
      <c r="N24" s="110"/>
    </row>
    <row r="25" spans="1:22" x14ac:dyDescent="0.15">
      <c r="A25" s="57" t="s">
        <v>109</v>
      </c>
      <c r="B25" s="61">
        <f>B20/B22</f>
        <v>4.0023999999999997</v>
      </c>
      <c r="C25" s="58" t="s">
        <v>110</v>
      </c>
      <c r="D25" s="36"/>
      <c r="E25" s="36"/>
      <c r="F25" s="36"/>
      <c r="G25" s="36"/>
      <c r="H25" s="37" t="s">
        <v>54</v>
      </c>
      <c r="I25" s="36"/>
      <c r="K25" s="94"/>
      <c r="L25" s="36"/>
      <c r="M25" s="38">
        <f>SUM(M20:M24)</f>
        <v>1.7886657508864037E-3</v>
      </c>
      <c r="N25" s="38"/>
      <c r="U25" s="38"/>
      <c r="V25" s="38"/>
    </row>
    <row r="26" spans="1:22" x14ac:dyDescent="0.15">
      <c r="A26" s="3"/>
      <c r="B26" s="3"/>
      <c r="C26" s="3"/>
      <c r="D26" s="3"/>
      <c r="E26" s="3"/>
      <c r="F26" s="3"/>
      <c r="G26" s="3"/>
      <c r="H26" s="37" t="s">
        <v>55</v>
      </c>
      <c r="I26" s="3"/>
      <c r="K26" s="3"/>
      <c r="M26" s="43">
        <f>SQRT(M25)</f>
        <v>4.2292620525174407E-2</v>
      </c>
      <c r="U26" s="38"/>
      <c r="V26" s="40"/>
    </row>
    <row r="27" spans="1:22" x14ac:dyDescent="0.15">
      <c r="A27" s="41"/>
      <c r="B27" s="64"/>
      <c r="C27" s="64"/>
      <c r="D27" s="64"/>
      <c r="E27" s="64"/>
      <c r="F27" s="64"/>
      <c r="G27" s="64"/>
      <c r="H27" s="42"/>
      <c r="I27" s="64"/>
      <c r="K27" s="3"/>
      <c r="M27" s="40"/>
      <c r="U27" s="40"/>
      <c r="V27" s="40"/>
    </row>
    <row r="28" spans="1:22" x14ac:dyDescent="0.15">
      <c r="A28" s="64"/>
      <c r="B28" s="64"/>
      <c r="C28" s="64"/>
      <c r="D28" s="64"/>
      <c r="E28" s="64"/>
      <c r="F28" s="64"/>
      <c r="G28" s="64"/>
      <c r="H28" s="39" t="s">
        <v>7</v>
      </c>
      <c r="I28" s="64"/>
      <c r="M28" s="95">
        <v>0.95</v>
      </c>
    </row>
    <row r="29" spans="1:22" x14ac:dyDescent="0.15">
      <c r="A29" s="64"/>
      <c r="B29" s="64"/>
      <c r="C29" s="64"/>
      <c r="D29" s="64"/>
      <c r="E29" s="64"/>
      <c r="F29" s="64"/>
      <c r="G29" s="64"/>
      <c r="H29" s="39" t="s">
        <v>56</v>
      </c>
      <c r="I29" s="64"/>
      <c r="L29" s="1">
        <v>2</v>
      </c>
      <c r="M29" s="43">
        <f>_xlfn.NORM.S.INV(M28+(1-M28)/2)</f>
        <v>1.9599639845400536</v>
      </c>
      <c r="U29" s="44"/>
    </row>
    <row r="30" spans="1:22" x14ac:dyDescent="0.15">
      <c r="A30" s="64"/>
      <c r="B30" s="64"/>
      <c r="C30" s="64"/>
      <c r="D30" s="64"/>
      <c r="E30" s="64"/>
      <c r="F30" s="64"/>
      <c r="G30" s="64"/>
      <c r="H30" s="39" t="s">
        <v>57</v>
      </c>
      <c r="I30" s="64"/>
      <c r="L30" s="55">
        <f>M26*2</f>
        <v>8.4585241050348814E-2</v>
      </c>
      <c r="M30" s="43">
        <f>M26*M29</f>
        <v>8.2892013041161283E-2</v>
      </c>
      <c r="N30" s="1" t="s">
        <v>110</v>
      </c>
      <c r="U30" s="38"/>
    </row>
    <row r="31" spans="1:22" x14ac:dyDescent="0.15">
      <c r="A31" s="64"/>
      <c r="B31" s="64"/>
      <c r="C31" s="64"/>
      <c r="D31" s="64"/>
      <c r="E31" s="64"/>
      <c r="F31" s="64"/>
      <c r="G31" s="64"/>
      <c r="H31" s="64"/>
      <c r="I31" s="64"/>
    </row>
    <row r="32" spans="1:22" x14ac:dyDescent="0.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</row>
    <row r="33" spans="1:19" ht="14.25" thickBot="1" x14ac:dyDescent="0.2">
      <c r="H33" s="38"/>
      <c r="I33" s="3"/>
    </row>
    <row r="34" spans="1:19" ht="14.25" thickBot="1" x14ac:dyDescent="0.2">
      <c r="A34" s="56" t="s">
        <v>58</v>
      </c>
      <c r="B34" s="43"/>
      <c r="C34" s="3"/>
      <c r="D34" s="3"/>
      <c r="E34" s="3"/>
      <c r="F34" s="3"/>
      <c r="G34" s="3"/>
      <c r="H34" s="38"/>
      <c r="I34" s="3"/>
      <c r="J34" s="128" t="s">
        <v>59</v>
      </c>
      <c r="K34" s="129"/>
      <c r="L34" s="129"/>
      <c r="M34" s="129"/>
      <c r="N34" s="129"/>
      <c r="O34" s="129"/>
      <c r="P34" s="129"/>
      <c r="Q34" s="129"/>
      <c r="R34" s="129"/>
      <c r="S34" s="130"/>
    </row>
    <row r="35" spans="1:19" ht="16.5" thickBot="1" x14ac:dyDescent="0.3">
      <c r="B35" s="45" t="s">
        <v>60</v>
      </c>
      <c r="C35" s="46" t="s">
        <v>61</v>
      </c>
      <c r="D35" s="46" t="s">
        <v>62</v>
      </c>
      <c r="E35" s="45" t="s">
        <v>63</v>
      </c>
      <c r="F35" s="45" t="s">
        <v>64</v>
      </c>
      <c r="G35" s="47" t="s">
        <v>65</v>
      </c>
      <c r="H35" s="48"/>
      <c r="J35" s="131" t="s">
        <v>111</v>
      </c>
      <c r="K35" s="132"/>
      <c r="L35" s="132"/>
      <c r="M35" s="132"/>
      <c r="N35" s="132"/>
      <c r="O35" s="132"/>
      <c r="P35" s="132"/>
      <c r="Q35" s="132"/>
      <c r="R35" s="132"/>
      <c r="S35" s="133"/>
    </row>
    <row r="36" spans="1:19" ht="14.25" thickBot="1" x14ac:dyDescent="0.2">
      <c r="A36" s="88" t="s">
        <v>108</v>
      </c>
      <c r="B36" s="43">
        <v>9.9999999999999995E-7</v>
      </c>
      <c r="C36" s="43">
        <f>B20+B36</f>
        <v>200.120001</v>
      </c>
      <c r="D36" s="49">
        <f>C36/B22</f>
        <v>4.0024000199999996</v>
      </c>
      <c r="E36" s="38">
        <f>D36-$B$25</f>
        <v>1.9999999878450581E-8</v>
      </c>
      <c r="F36" s="89">
        <f t="shared" ref="F36:F37" si="1">IF(D36&lt;&gt;0,E36/B36,1/0)</f>
        <v>1.9999999878450581E-2</v>
      </c>
      <c r="G36" s="50">
        <f>1/B22</f>
        <v>0.02</v>
      </c>
      <c r="H36" s="90">
        <v>2</v>
      </c>
    </row>
    <row r="37" spans="1:19" ht="14.25" thickBot="1" x14ac:dyDescent="0.2">
      <c r="A37" s="45" t="s">
        <v>103</v>
      </c>
      <c r="B37" s="43">
        <v>9.9999999999999995E-7</v>
      </c>
      <c r="C37" s="43">
        <f>B22+B37</f>
        <v>50.000000999999997</v>
      </c>
      <c r="D37" s="49">
        <f>B20/C37</f>
        <v>4.0023999199520022</v>
      </c>
      <c r="E37" s="38">
        <f>D37-$B$25</f>
        <v>-8.0047997563781337E-8</v>
      </c>
      <c r="F37" s="89">
        <f t="shared" si="1"/>
        <v>-8.0047997563781337E-2</v>
      </c>
      <c r="G37" s="51">
        <f>-B20/B22^2</f>
        <v>-8.0048000000000008E-2</v>
      </c>
      <c r="H37" s="91">
        <v>2</v>
      </c>
      <c r="J37" s="128" t="s">
        <v>66</v>
      </c>
      <c r="K37" s="129"/>
      <c r="L37" s="129"/>
      <c r="M37" s="129"/>
      <c r="N37" s="129"/>
      <c r="O37" s="129"/>
      <c r="P37" s="129"/>
      <c r="Q37" s="129"/>
      <c r="R37" s="129"/>
      <c r="S37" s="130"/>
    </row>
    <row r="38" spans="1:19" ht="14.25" thickBot="1" x14ac:dyDescent="0.2">
      <c r="B38" s="43"/>
      <c r="C38" s="49"/>
      <c r="D38" s="49"/>
      <c r="E38" s="38"/>
      <c r="F38" s="38"/>
      <c r="J38" s="131" t="s">
        <v>112</v>
      </c>
      <c r="K38" s="132"/>
      <c r="L38" s="132"/>
      <c r="M38" s="132"/>
      <c r="N38" s="132"/>
      <c r="O38" s="132"/>
      <c r="P38" s="132"/>
      <c r="Q38" s="132"/>
      <c r="R38" s="132"/>
      <c r="S38" s="133"/>
    </row>
    <row r="39" spans="1:19" x14ac:dyDescent="0.15">
      <c r="B39" s="43"/>
      <c r="C39" s="49"/>
      <c r="D39" s="49"/>
      <c r="E39" s="38"/>
      <c r="F39" s="38"/>
    </row>
    <row r="40" spans="1:19" x14ac:dyDescent="0.15">
      <c r="B40" s="43"/>
      <c r="C40" s="49"/>
      <c r="D40" s="49"/>
      <c r="E40" s="38"/>
      <c r="F40" s="38"/>
      <c r="J40" s="52"/>
      <c r="K40" s="52"/>
      <c r="L40" s="52"/>
      <c r="M40" s="52"/>
      <c r="N40" s="52"/>
      <c r="O40" s="52"/>
      <c r="P40" s="52"/>
      <c r="Q40" s="52"/>
      <c r="R40" s="52"/>
      <c r="S40" s="52"/>
    </row>
    <row r="41" spans="1:19" x14ac:dyDescent="0.15">
      <c r="B41" s="43"/>
      <c r="C41" s="49"/>
      <c r="D41" s="49"/>
      <c r="E41" s="38"/>
      <c r="F41" s="38"/>
      <c r="J41" s="52"/>
      <c r="K41" s="52"/>
      <c r="L41" s="52"/>
      <c r="M41" s="52"/>
      <c r="N41" s="52"/>
      <c r="O41" s="52"/>
      <c r="P41" s="52"/>
      <c r="Q41" s="52"/>
      <c r="R41" s="52"/>
      <c r="S41" s="52"/>
    </row>
    <row r="42" spans="1:19" x14ac:dyDescent="0.15">
      <c r="B42" s="43"/>
      <c r="C42" s="49"/>
      <c r="D42" s="49"/>
      <c r="E42" s="38"/>
      <c r="F42" s="38"/>
      <c r="J42" s="53"/>
    </row>
    <row r="43" spans="1:19" x14ac:dyDescent="0.15">
      <c r="J43" s="53"/>
    </row>
    <row r="44" spans="1:19" x14ac:dyDescent="0.15">
      <c r="J44" s="53"/>
    </row>
    <row r="45" spans="1:19" x14ac:dyDescent="0.15">
      <c r="J45" s="53"/>
    </row>
    <row r="46" spans="1:19" x14ac:dyDescent="0.15">
      <c r="J46" s="53"/>
    </row>
    <row r="47" spans="1:19" x14ac:dyDescent="0.15">
      <c r="J47" s="53"/>
    </row>
    <row r="48" spans="1:19" x14ac:dyDescent="0.15">
      <c r="J48" s="53"/>
    </row>
    <row r="49" spans="10:10" x14ac:dyDescent="0.15">
      <c r="J49" s="53"/>
    </row>
    <row r="50" spans="10:10" x14ac:dyDescent="0.15">
      <c r="J50" s="53"/>
    </row>
    <row r="51" spans="10:10" x14ac:dyDescent="0.15">
      <c r="J51" s="53"/>
    </row>
  </sheetData>
  <mergeCells count="8">
    <mergeCell ref="J37:S37"/>
    <mergeCell ref="J38:S38"/>
    <mergeCell ref="D3:F3"/>
    <mergeCell ref="A18:C18"/>
    <mergeCell ref="D18:H18"/>
    <mergeCell ref="I18:J18"/>
    <mergeCell ref="J34:S34"/>
    <mergeCell ref="J35:S35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V35"/>
  <sheetViews>
    <sheetView tabSelected="1" topLeftCell="H13" zoomScale="130" zoomScaleNormal="130" workbookViewId="0">
      <selection activeCell="H48" sqref="H48"/>
    </sheetView>
  </sheetViews>
  <sheetFormatPr defaultColWidth="9.01171875" defaultRowHeight="13.5" x14ac:dyDescent="0.15"/>
  <cols>
    <col min="1" max="4" width="9.01171875" style="1"/>
    <col min="5" max="5" width="9.28125" style="1" bestFit="1" customWidth="1"/>
    <col min="6" max="6" width="9.28125" style="1" customWidth="1"/>
    <col min="7" max="9" width="9.01171875" style="1"/>
    <col min="10" max="10" width="5.109375" style="1" customWidth="1"/>
    <col min="11" max="11" width="5.91796875" style="1" customWidth="1"/>
    <col min="12" max="12" width="4.9765625" style="1" bestFit="1" customWidth="1"/>
    <col min="13" max="13" width="6.859375" style="1" customWidth="1"/>
    <col min="14" max="14" width="6.3203125" style="1" customWidth="1"/>
    <col min="15" max="15" width="4.83984375" style="1" customWidth="1"/>
    <col min="16" max="16" width="5.37890625" style="1" customWidth="1"/>
    <col min="17" max="17" width="4.70703125" style="1" bestFit="1" customWidth="1"/>
    <col min="18" max="18" width="4.03515625" style="1" bestFit="1" customWidth="1"/>
    <col min="19" max="19" width="2.5546875" style="1" bestFit="1" customWidth="1"/>
    <col min="20" max="20" width="4.03515625" style="1" bestFit="1" customWidth="1"/>
    <col min="21" max="21" width="4.70703125" style="1" bestFit="1" customWidth="1"/>
    <col min="22" max="22" width="4.03515625" style="1" bestFit="1" customWidth="1"/>
    <col min="23" max="16384" width="9.01171875" style="1"/>
  </cols>
  <sheetData>
    <row r="4" spans="2:22" ht="15.75" thickBot="1" x14ac:dyDescent="0.25">
      <c r="E4" s="83" t="s">
        <v>93</v>
      </c>
      <c r="F4" s="82"/>
    </row>
    <row r="5" spans="2:22" ht="20.25" thickBot="1" x14ac:dyDescent="0.25">
      <c r="B5" s="81" t="s">
        <v>92</v>
      </c>
      <c r="C5" s="80" t="s">
        <v>91</v>
      </c>
      <c r="D5" s="79" t="s">
        <v>90</v>
      </c>
      <c r="E5" s="78"/>
      <c r="F5" s="77" t="s">
        <v>89</v>
      </c>
    </row>
    <row r="6" spans="2:22" ht="15.75" thickBot="1" x14ac:dyDescent="0.25">
      <c r="B6" s="75">
        <v>1</v>
      </c>
      <c r="C6" s="69">
        <f t="shared" ref="C6:C11" si="0">B6^2</f>
        <v>1</v>
      </c>
      <c r="D6" s="74">
        <v>0</v>
      </c>
      <c r="E6" s="73">
        <f t="shared" ref="E6:E11" si="1">$J$10+$I$10*B6+$H$10*C6</f>
        <v>0.28571428571428564</v>
      </c>
      <c r="F6" s="72">
        <f t="shared" ref="F6:F11" si="2">E6-D6</f>
        <v>0.28571428571428564</v>
      </c>
      <c r="H6" s="76"/>
      <c r="I6" s="76"/>
    </row>
    <row r="7" spans="2:22" ht="15.75" thickBot="1" x14ac:dyDescent="0.25">
      <c r="B7" s="75">
        <v>2</v>
      </c>
      <c r="C7" s="69">
        <f t="shared" si="0"/>
        <v>4</v>
      </c>
      <c r="D7" s="74">
        <v>2</v>
      </c>
      <c r="E7" s="73">
        <f t="shared" si="1"/>
        <v>1.5142857142857147</v>
      </c>
      <c r="F7" s="72">
        <f t="shared" si="2"/>
        <v>-0.48571428571428532</v>
      </c>
      <c r="H7" s="76"/>
      <c r="I7" s="76"/>
    </row>
    <row r="8" spans="2:22" ht="15.75" thickBot="1" x14ac:dyDescent="0.25">
      <c r="B8" s="75">
        <v>3</v>
      </c>
      <c r="C8" s="69">
        <f t="shared" si="0"/>
        <v>9</v>
      </c>
      <c r="D8" s="74">
        <v>3</v>
      </c>
      <c r="E8" s="73">
        <f t="shared" si="1"/>
        <v>2.885714285714287</v>
      </c>
      <c r="F8" s="72">
        <f t="shared" si="2"/>
        <v>-0.11428571428571299</v>
      </c>
    </row>
    <row r="9" spans="2:22" ht="15.75" thickBot="1" x14ac:dyDescent="0.25">
      <c r="B9" s="75">
        <v>4</v>
      </c>
      <c r="C9" s="69">
        <f t="shared" si="0"/>
        <v>16</v>
      </c>
      <c r="D9" s="74">
        <v>4</v>
      </c>
      <c r="E9" s="73">
        <f t="shared" si="1"/>
        <v>4.4000000000000004</v>
      </c>
      <c r="F9" s="72">
        <f t="shared" si="2"/>
        <v>0.40000000000000036</v>
      </c>
      <c r="H9" s="1" t="s">
        <v>95</v>
      </c>
      <c r="I9" s="1" t="s">
        <v>86</v>
      </c>
      <c r="J9" s="1" t="s">
        <v>88</v>
      </c>
    </row>
    <row r="10" spans="2:22" ht="15.75" thickBot="1" x14ac:dyDescent="0.25">
      <c r="B10" s="75">
        <v>5</v>
      </c>
      <c r="C10" s="69">
        <f t="shared" si="0"/>
        <v>25</v>
      </c>
      <c r="D10" s="74">
        <v>6</v>
      </c>
      <c r="E10" s="73">
        <f t="shared" si="1"/>
        <v>6.0571428571428569</v>
      </c>
      <c r="F10" s="72">
        <f t="shared" si="2"/>
        <v>5.714285714285694E-2</v>
      </c>
      <c r="H10" s="76">
        <f t="array" ref="H10:J11">LINEST(D6:D11,B6:C11,1,1)</f>
        <v>7.1428571428571244E-2</v>
      </c>
      <c r="I10" s="76">
        <v>1.0142857142857153</v>
      </c>
      <c r="J10" s="76">
        <v>-0.80000000000000093</v>
      </c>
    </row>
    <row r="11" spans="2:22" ht="15.75" thickBot="1" x14ac:dyDescent="0.25">
      <c r="B11" s="75">
        <v>6</v>
      </c>
      <c r="C11" s="69">
        <f t="shared" si="0"/>
        <v>36</v>
      </c>
      <c r="D11" s="74">
        <v>8</v>
      </c>
      <c r="E11" s="73">
        <f t="shared" si="1"/>
        <v>7.8571428571428568</v>
      </c>
      <c r="F11" s="72">
        <f t="shared" si="2"/>
        <v>-0.14285714285714324</v>
      </c>
      <c r="H11" s="76">
        <v>6.7763092717893811E-2</v>
      </c>
      <c r="I11" s="76">
        <v>0.4845574458899034</v>
      </c>
      <c r="J11" s="76">
        <v>0.74065607981804049</v>
      </c>
    </row>
    <row r="12" spans="2:22" ht="15" x14ac:dyDescent="0.2">
      <c r="E12" s="67"/>
      <c r="F12" s="71">
        <f>SUMSQ(F6:F11)</f>
        <v>0.5142857142857139</v>
      </c>
    </row>
    <row r="13" spans="2:22" ht="15" x14ac:dyDescent="0.2">
      <c r="B13" s="70">
        <v>5.5</v>
      </c>
      <c r="D13" s="1" t="s">
        <v>94</v>
      </c>
      <c r="E13" s="66"/>
      <c r="F13" s="67">
        <f>$J$10+$I$10*B13+$H$10*B13^2</f>
        <v>6.9392857142857141</v>
      </c>
    </row>
    <row r="14" spans="2:22" ht="15.75" thickBot="1" x14ac:dyDescent="0.25">
      <c r="B14" s="70"/>
      <c r="C14" s="69"/>
      <c r="E14" s="68"/>
      <c r="F14" s="68"/>
      <c r="H14" s="66"/>
    </row>
    <row r="16" spans="2:22" x14ac:dyDescent="0.15">
      <c r="J16" s="1" t="s">
        <v>2</v>
      </c>
      <c r="K16" s="65" t="s">
        <v>88</v>
      </c>
      <c r="L16" s="76">
        <f>J10</f>
        <v>-0.80000000000000093</v>
      </c>
      <c r="M16" s="65" t="s">
        <v>87</v>
      </c>
      <c r="N16" s="76">
        <f>J11</f>
        <v>0.74065607981804049</v>
      </c>
      <c r="O16" s="65" t="s">
        <v>86</v>
      </c>
      <c r="P16" s="76">
        <f>I10</f>
        <v>1.0142857142857153</v>
      </c>
      <c r="Q16" s="65" t="s">
        <v>85</v>
      </c>
      <c r="R16" s="76">
        <f>I11</f>
        <v>0.4845574458899034</v>
      </c>
      <c r="S16" s="65" t="s">
        <v>95</v>
      </c>
      <c r="T16" s="76">
        <f>H10</f>
        <v>7.1428571428571244E-2</v>
      </c>
      <c r="U16" s="65" t="s">
        <v>96</v>
      </c>
      <c r="V16" s="76">
        <f>H11</f>
        <v>6.7763092717893811E-2</v>
      </c>
    </row>
    <row r="17" spans="10:22" x14ac:dyDescent="0.15">
      <c r="J17" s="1" t="s">
        <v>3</v>
      </c>
      <c r="K17" s="76">
        <f>F12</f>
        <v>0.5142857142857139</v>
      </c>
    </row>
    <row r="18" spans="10:22" x14ac:dyDescent="0.15">
      <c r="J18" s="1" t="s">
        <v>4</v>
      </c>
      <c r="K18" s="76">
        <f>F13</f>
        <v>6.9392857142857141</v>
      </c>
    </row>
    <row r="19" spans="10:22" x14ac:dyDescent="0.15">
      <c r="K19" s="65"/>
      <c r="L19" s="2"/>
      <c r="M19" s="65"/>
      <c r="N19" s="2"/>
      <c r="O19" s="65"/>
      <c r="P19" s="2"/>
      <c r="Q19" s="65"/>
      <c r="R19" s="2"/>
      <c r="S19" s="65"/>
      <c r="T19" s="2"/>
      <c r="U19" s="65"/>
      <c r="V19" s="2"/>
    </row>
    <row r="20" spans="10:22" x14ac:dyDescent="0.15">
      <c r="K20" s="2"/>
    </row>
    <row r="21" spans="10:22" x14ac:dyDescent="0.15">
      <c r="K21" s="2"/>
    </row>
    <row r="23" spans="10:22" x14ac:dyDescent="0.15">
      <c r="L23" s="6"/>
    </row>
    <row r="24" spans="10:22" x14ac:dyDescent="0.15">
      <c r="L24" s="6"/>
    </row>
    <row r="25" spans="10:22" x14ac:dyDescent="0.15">
      <c r="L25" s="6"/>
    </row>
    <row r="26" spans="10:22" x14ac:dyDescent="0.15">
      <c r="L26" s="6"/>
    </row>
    <row r="27" spans="10:22" x14ac:dyDescent="0.15">
      <c r="L27" s="6"/>
    </row>
    <row r="28" spans="10:22" x14ac:dyDescent="0.15">
      <c r="L28" s="6"/>
    </row>
    <row r="29" spans="10:22" x14ac:dyDescent="0.15">
      <c r="L29" s="6"/>
    </row>
    <row r="30" spans="10:22" x14ac:dyDescent="0.15">
      <c r="L30" s="6"/>
    </row>
    <row r="31" spans="10:22" x14ac:dyDescent="0.15">
      <c r="L31" s="6"/>
    </row>
    <row r="32" spans="10:22" x14ac:dyDescent="0.15">
      <c r="L32" s="6"/>
    </row>
    <row r="33" spans="12:12" x14ac:dyDescent="0.15">
      <c r="L33" s="6"/>
    </row>
    <row r="34" spans="12:12" x14ac:dyDescent="0.15">
      <c r="L34" s="6"/>
    </row>
    <row r="35" spans="12:12" x14ac:dyDescent="0.15">
      <c r="L35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7"/>
  <sheetViews>
    <sheetView topLeftCell="C1" zoomScale="115" zoomScaleNormal="115" workbookViewId="0">
      <selection activeCell="K15" sqref="K15"/>
    </sheetView>
  </sheetViews>
  <sheetFormatPr defaultColWidth="9.01171875" defaultRowHeight="13.5" x14ac:dyDescent="0.15"/>
  <cols>
    <col min="1" max="4" width="9.01171875" style="1"/>
    <col min="5" max="5" width="6.05078125" style="1" customWidth="1"/>
    <col min="6" max="6" width="6.1875" style="1" customWidth="1"/>
    <col min="7" max="7" width="8.203125" style="1" bestFit="1" customWidth="1"/>
    <col min="8" max="8" width="6.05078125" style="1" customWidth="1"/>
    <col min="9" max="9" width="7.26171875" style="1" customWidth="1"/>
    <col min="10" max="10" width="14.796875" style="1" bestFit="1" customWidth="1"/>
    <col min="11" max="11" width="7.6640625" style="1" customWidth="1"/>
    <col min="12" max="12" width="7.3984375" style="1" customWidth="1"/>
    <col min="13" max="16384" width="9.01171875" style="1"/>
  </cols>
  <sheetData>
    <row r="1" spans="1:13" ht="15" x14ac:dyDescent="0.15">
      <c r="E1" s="54" t="s">
        <v>116</v>
      </c>
    </row>
    <row r="2" spans="1:13" ht="15" x14ac:dyDescent="0.15">
      <c r="E2" s="54" t="s">
        <v>76</v>
      </c>
    </row>
    <row r="3" spans="1:13" ht="15" x14ac:dyDescent="0.15">
      <c r="E3" s="54"/>
    </row>
    <row r="4" spans="1:13" ht="15" x14ac:dyDescent="0.15">
      <c r="E4" s="54" t="s">
        <v>77</v>
      </c>
    </row>
    <row r="5" spans="1:13" ht="15" x14ac:dyDescent="0.15">
      <c r="E5" s="54" t="s">
        <v>78</v>
      </c>
    </row>
    <row r="6" spans="1:13" ht="15" x14ac:dyDescent="0.15">
      <c r="E6" s="54" t="s">
        <v>79</v>
      </c>
    </row>
    <row r="7" spans="1:13" ht="15" x14ac:dyDescent="0.15">
      <c r="E7" s="54" t="s">
        <v>80</v>
      </c>
    </row>
    <row r="8" spans="1:13" ht="15" x14ac:dyDescent="0.15">
      <c r="E8" s="54"/>
    </row>
    <row r="9" spans="1:13" ht="15" x14ac:dyDescent="0.15">
      <c r="E9" s="54" t="s">
        <v>81</v>
      </c>
    </row>
    <row r="10" spans="1:13" ht="15" x14ac:dyDescent="0.15">
      <c r="E10" s="54" t="s">
        <v>82</v>
      </c>
    </row>
    <row r="11" spans="1:13" ht="15" x14ac:dyDescent="0.15">
      <c r="E11" s="54" t="s">
        <v>83</v>
      </c>
      <c r="H11" s="2"/>
    </row>
    <row r="12" spans="1:13" ht="15" x14ac:dyDescent="0.15">
      <c r="E12" s="54" t="s">
        <v>84</v>
      </c>
    </row>
    <row r="13" spans="1:13" ht="14.25" thickBot="1" x14ac:dyDescent="0.2">
      <c r="F13" s="1" t="s">
        <v>71</v>
      </c>
    </row>
    <row r="14" spans="1:13" x14ac:dyDescent="0.15">
      <c r="E14" s="125"/>
      <c r="F14" s="112" t="s">
        <v>10</v>
      </c>
      <c r="G14" s="112" t="s">
        <v>11</v>
      </c>
      <c r="H14" s="112" t="s">
        <v>70</v>
      </c>
      <c r="I14" s="112" t="s">
        <v>12</v>
      </c>
      <c r="J14" s="112" t="s">
        <v>13</v>
      </c>
      <c r="K14" s="113" t="s">
        <v>8</v>
      </c>
      <c r="L14" s="3"/>
    </row>
    <row r="15" spans="1:13" ht="14.25" thickBot="1" x14ac:dyDescent="0.2">
      <c r="A15" s="4" t="s">
        <v>2</v>
      </c>
      <c r="B15" s="5">
        <f>K15</f>
        <v>0.57826086956521749</v>
      </c>
      <c r="E15" s="119" t="s">
        <v>2</v>
      </c>
      <c r="F15" s="106">
        <v>0</v>
      </c>
      <c r="G15" s="106">
        <v>3</v>
      </c>
      <c r="H15" s="106">
        <v>4</v>
      </c>
      <c r="I15" s="106">
        <v>25</v>
      </c>
      <c r="J15" s="106">
        <v>0</v>
      </c>
      <c r="K15" s="126">
        <f>_xlfn.HYPGEOM.DIST(F15,G15,H15,I15,J15)</f>
        <v>0.57826086956521749</v>
      </c>
      <c r="L15" s="123"/>
      <c r="M15" s="3"/>
    </row>
    <row r="16" spans="1:13" x14ac:dyDescent="0.15">
      <c r="A16" s="4" t="s">
        <v>3</v>
      </c>
      <c r="B16" s="5">
        <f>K17</f>
        <v>1.7391304347826085E-3</v>
      </c>
      <c r="E16" s="96"/>
      <c r="F16" s="112" t="s">
        <v>10</v>
      </c>
      <c r="G16" s="112" t="s">
        <v>11</v>
      </c>
      <c r="H16" s="112" t="s">
        <v>70</v>
      </c>
      <c r="I16" s="112" t="s">
        <v>12</v>
      </c>
      <c r="J16" s="112" t="s">
        <v>13</v>
      </c>
      <c r="K16" s="127" t="s">
        <v>8</v>
      </c>
      <c r="L16" s="123"/>
    </row>
    <row r="17" spans="1:22" ht="14.25" thickBot="1" x14ac:dyDescent="0.2">
      <c r="A17" s="4" t="s">
        <v>4</v>
      </c>
      <c r="B17" s="5">
        <f>K19</f>
        <v>0.99826086956521742</v>
      </c>
      <c r="E17" s="119" t="s">
        <v>3</v>
      </c>
      <c r="F17" s="106">
        <v>3</v>
      </c>
      <c r="G17" s="106">
        <v>3</v>
      </c>
      <c r="H17" s="106">
        <v>4</v>
      </c>
      <c r="I17" s="106">
        <v>25</v>
      </c>
      <c r="J17" s="106">
        <v>0</v>
      </c>
      <c r="K17" s="126">
        <f>_xlfn.HYPGEOM.DIST(F17,G17,H17,I17,J17)</f>
        <v>1.7391304347826085E-3</v>
      </c>
      <c r="L17" s="123"/>
    </row>
    <row r="18" spans="1:22" x14ac:dyDescent="0.15">
      <c r="A18" s="1" t="s">
        <v>5</v>
      </c>
      <c r="B18" s="5">
        <f>K22</f>
        <v>0.59270400000000001</v>
      </c>
      <c r="E18" s="96"/>
      <c r="F18" s="112" t="s">
        <v>10</v>
      </c>
      <c r="G18" s="112" t="s">
        <v>11</v>
      </c>
      <c r="H18" s="112" t="s">
        <v>70</v>
      </c>
      <c r="I18" s="112" t="s">
        <v>12</v>
      </c>
      <c r="J18" s="112" t="s">
        <v>13</v>
      </c>
      <c r="K18" s="127" t="s">
        <v>8</v>
      </c>
      <c r="L18" s="123"/>
    </row>
    <row r="19" spans="1:22" ht="14.25" thickBot="1" x14ac:dyDescent="0.2">
      <c r="A19" s="1" t="s">
        <v>6</v>
      </c>
      <c r="B19" s="5">
        <f>K24</f>
        <v>4.0959999999999989E-3</v>
      </c>
      <c r="E19" s="119" t="s">
        <v>4</v>
      </c>
      <c r="F19" s="106">
        <v>2</v>
      </c>
      <c r="G19" s="106">
        <v>3</v>
      </c>
      <c r="H19" s="106">
        <v>4</v>
      </c>
      <c r="I19" s="106">
        <v>25</v>
      </c>
      <c r="J19" s="106">
        <v>1</v>
      </c>
      <c r="K19" s="126">
        <f>_xlfn.HYPGEOM.DIST(F19,G19,H19,I19,J19)</f>
        <v>0.99826086956521742</v>
      </c>
      <c r="L19" s="123"/>
    </row>
    <row r="20" spans="1:22" ht="14.25" thickBot="1" x14ac:dyDescent="0.2">
      <c r="A20" s="1" t="s">
        <v>16</v>
      </c>
      <c r="B20" s="5">
        <f>K26</f>
        <v>0.99590400000000001</v>
      </c>
      <c r="F20" s="3" t="s">
        <v>72</v>
      </c>
      <c r="G20" s="3"/>
      <c r="H20" s="3"/>
      <c r="I20" s="3"/>
      <c r="J20" s="3"/>
      <c r="K20" s="123"/>
      <c r="L20" s="123"/>
    </row>
    <row r="21" spans="1:22" x14ac:dyDescent="0.15">
      <c r="A21" s="4"/>
      <c r="B21" s="5"/>
      <c r="E21" s="96"/>
      <c r="F21" s="112" t="s">
        <v>10</v>
      </c>
      <c r="G21" s="112" t="s">
        <v>11</v>
      </c>
      <c r="H21" s="112"/>
      <c r="I21" s="112" t="s">
        <v>8</v>
      </c>
      <c r="J21" s="112" t="s">
        <v>13</v>
      </c>
      <c r="K21" s="113" t="s">
        <v>8</v>
      </c>
    </row>
    <row r="22" spans="1:22" ht="14.25" thickBot="1" x14ac:dyDescent="0.2">
      <c r="A22" s="4"/>
      <c r="B22" s="5"/>
      <c r="E22" s="119" t="s">
        <v>5</v>
      </c>
      <c r="F22" s="106">
        <v>0</v>
      </c>
      <c r="G22" s="106">
        <v>3</v>
      </c>
      <c r="H22" s="106"/>
      <c r="I22" s="106">
        <f>4/25</f>
        <v>0.16</v>
      </c>
      <c r="J22" s="106">
        <v>0</v>
      </c>
      <c r="K22" s="126">
        <f>_xlfn.BINOM.DIST(F22,G22,I22,J22)</f>
        <v>0.59270400000000001</v>
      </c>
      <c r="L22" s="123"/>
    </row>
    <row r="23" spans="1:22" x14ac:dyDescent="0.15">
      <c r="A23" s="4"/>
      <c r="B23" s="5"/>
      <c r="E23" s="96"/>
      <c r="F23" s="112" t="s">
        <v>10</v>
      </c>
      <c r="G23" s="112" t="s">
        <v>11</v>
      </c>
      <c r="H23" s="112"/>
      <c r="I23" s="112" t="s">
        <v>8</v>
      </c>
      <c r="J23" s="112" t="s">
        <v>13</v>
      </c>
      <c r="K23" s="127" t="s">
        <v>8</v>
      </c>
      <c r="L23" s="123"/>
    </row>
    <row r="24" spans="1:22" ht="14.25" thickBot="1" x14ac:dyDescent="0.2">
      <c r="A24" s="4"/>
      <c r="B24" s="2"/>
      <c r="C24" s="2"/>
      <c r="D24" s="6"/>
      <c r="E24" s="119" t="s">
        <v>6</v>
      </c>
      <c r="F24" s="106">
        <v>3</v>
      </c>
      <c r="G24" s="106">
        <v>3</v>
      </c>
      <c r="H24" s="106"/>
      <c r="I24" s="106">
        <f>4/25</f>
        <v>0.16</v>
      </c>
      <c r="J24" s="106">
        <v>0</v>
      </c>
      <c r="K24" s="126">
        <f>_xlfn.BINOM.DIST(F24,G24,I24,J24)</f>
        <v>4.0959999999999989E-3</v>
      </c>
      <c r="L24" s="123"/>
      <c r="M24" s="3"/>
    </row>
    <row r="25" spans="1:22" x14ac:dyDescent="0.15">
      <c r="A25" s="4"/>
      <c r="E25" s="96"/>
      <c r="F25" s="112" t="s">
        <v>10</v>
      </c>
      <c r="G25" s="112" t="s">
        <v>11</v>
      </c>
      <c r="H25" s="112"/>
      <c r="I25" s="112" t="s">
        <v>8</v>
      </c>
      <c r="J25" s="112" t="s">
        <v>13</v>
      </c>
      <c r="K25" s="127" t="s">
        <v>8</v>
      </c>
      <c r="L25" s="123"/>
      <c r="M25" s="3"/>
    </row>
    <row r="26" spans="1:22" ht="14.25" thickBot="1" x14ac:dyDescent="0.2">
      <c r="E26" s="119" t="s">
        <v>16</v>
      </c>
      <c r="F26" s="106">
        <v>2</v>
      </c>
      <c r="G26" s="106">
        <v>3</v>
      </c>
      <c r="H26" s="106"/>
      <c r="I26" s="106">
        <f>4/25</f>
        <v>0.16</v>
      </c>
      <c r="J26" s="106">
        <v>1</v>
      </c>
      <c r="K26" s="126">
        <f>_xlfn.BINOM.DIST(F26,G26,I26,J26)</f>
        <v>0.99590400000000001</v>
      </c>
      <c r="L26" s="123"/>
      <c r="M26" s="3"/>
    </row>
    <row r="27" spans="1:22" x14ac:dyDescent="0.15">
      <c r="F27" s="3"/>
      <c r="G27" s="3"/>
      <c r="H27" s="3"/>
      <c r="I27" s="3"/>
      <c r="J27" s="3"/>
      <c r="K27" s="123"/>
      <c r="L27" s="124"/>
    </row>
    <row r="28" spans="1:22" x14ac:dyDescent="0.15">
      <c r="J28" s="7"/>
      <c r="K28" s="8"/>
      <c r="L28" s="3"/>
    </row>
    <row r="29" spans="1:22" ht="15" x14ac:dyDescent="0.2">
      <c r="F29" s="111"/>
      <c r="G29"/>
      <c r="H29"/>
      <c r="I29"/>
      <c r="J29"/>
      <c r="K29"/>
      <c r="L29"/>
    </row>
    <row r="30" spans="1:22" ht="15" x14ac:dyDescent="0.2">
      <c r="F30" s="114" t="s">
        <v>117</v>
      </c>
      <c r="G30"/>
      <c r="H30"/>
      <c r="I30"/>
      <c r="J30"/>
      <c r="K30"/>
      <c r="L30"/>
      <c r="M30"/>
    </row>
    <row r="31" spans="1:22" ht="23.25" customHeight="1" x14ac:dyDescent="0.2">
      <c r="F31" s="141" t="s">
        <v>118</v>
      </c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</row>
    <row r="32" spans="1:22" ht="15" x14ac:dyDescent="0.2">
      <c r="F32" t="s">
        <v>119</v>
      </c>
      <c r="G32"/>
      <c r="H32"/>
      <c r="I32"/>
      <c r="J32"/>
      <c r="K32"/>
      <c r="L32"/>
      <c r="M32"/>
    </row>
    <row r="33" spans="6:9" ht="14.25" thickBot="1" x14ac:dyDescent="0.2"/>
    <row r="34" spans="6:9" x14ac:dyDescent="0.15">
      <c r="F34" s="96"/>
      <c r="G34" s="97" t="s">
        <v>9</v>
      </c>
      <c r="H34" s="97">
        <v>1.7</v>
      </c>
      <c r="I34" s="48" t="s">
        <v>68</v>
      </c>
    </row>
    <row r="35" spans="6:9" x14ac:dyDescent="0.15">
      <c r="F35" s="117"/>
      <c r="G35" s="1" t="s">
        <v>1</v>
      </c>
      <c r="H35" s="115">
        <v>12</v>
      </c>
      <c r="I35" s="118" t="s">
        <v>73</v>
      </c>
    </row>
    <row r="36" spans="6:9" x14ac:dyDescent="0.15">
      <c r="F36" s="117"/>
      <c r="G36" s="1" t="s">
        <v>1</v>
      </c>
      <c r="H36" s="2">
        <f>H35/100</f>
        <v>0.12</v>
      </c>
      <c r="I36" s="118" t="s">
        <v>73</v>
      </c>
    </row>
    <row r="37" spans="6:9" x14ac:dyDescent="0.15">
      <c r="F37" s="117"/>
      <c r="G37" s="1" t="s">
        <v>14</v>
      </c>
      <c r="H37" s="1">
        <v>1.6</v>
      </c>
      <c r="I37" s="118" t="s">
        <v>68</v>
      </c>
    </row>
    <row r="38" spans="6:9" x14ac:dyDescent="0.15">
      <c r="F38" s="117"/>
      <c r="G38" s="1" t="s">
        <v>15</v>
      </c>
      <c r="H38" s="1">
        <v>1.78</v>
      </c>
      <c r="I38" s="118" t="s">
        <v>68</v>
      </c>
    </row>
    <row r="39" spans="6:9" x14ac:dyDescent="0.15">
      <c r="F39" s="117"/>
      <c r="I39" s="118"/>
    </row>
    <row r="40" spans="6:9" x14ac:dyDescent="0.15">
      <c r="F40" s="117"/>
      <c r="G40" s="7">
        <v>0.9</v>
      </c>
      <c r="I40" s="118"/>
    </row>
    <row r="41" spans="6:9" x14ac:dyDescent="0.15">
      <c r="F41" s="117" t="s">
        <v>17</v>
      </c>
      <c r="G41" s="5">
        <f>1-(1-G40)/2</f>
        <v>0.95</v>
      </c>
      <c r="H41" s="116">
        <f>_xlfn.NORM.S.INV(G41)</f>
        <v>1.6448536269514715</v>
      </c>
      <c r="I41" s="118"/>
    </row>
    <row r="42" spans="6:9" x14ac:dyDescent="0.15">
      <c r="F42" s="117"/>
      <c r="I42" s="118"/>
    </row>
    <row r="43" spans="6:9" x14ac:dyDescent="0.15">
      <c r="F43" s="117"/>
      <c r="I43" s="118"/>
    </row>
    <row r="44" spans="6:9" x14ac:dyDescent="0.15">
      <c r="F44" s="117" t="s">
        <v>74</v>
      </c>
      <c r="G44" s="5">
        <f>_xlfn.NORM.DIST(H38,H34,H36,1)-_xlfn.NORM.DIST(H37,H34,H36,1)</f>
        <v>0.54517908148943406</v>
      </c>
      <c r="H44" s="2"/>
      <c r="I44" s="118"/>
    </row>
    <row r="45" spans="6:9" x14ac:dyDescent="0.15">
      <c r="F45" s="117" t="s">
        <v>75</v>
      </c>
      <c r="G45" s="1" t="s">
        <v>18</v>
      </c>
      <c r="H45" s="2">
        <f>$H$34-$H$41*$H$36</f>
        <v>1.5026175647658233</v>
      </c>
      <c r="I45" s="118" t="s">
        <v>68</v>
      </c>
    </row>
    <row r="46" spans="6:9" x14ac:dyDescent="0.15">
      <c r="F46" s="117" t="s">
        <v>75</v>
      </c>
      <c r="G46" s="1" t="s">
        <v>19</v>
      </c>
      <c r="H46" s="2">
        <f>$H$34+H$41*$H$36</f>
        <v>1.8973824352341766</v>
      </c>
      <c r="I46" s="118" t="s">
        <v>68</v>
      </c>
    </row>
    <row r="47" spans="6:9" ht="14.25" thickBot="1" x14ac:dyDescent="0.2">
      <c r="F47" s="119"/>
      <c r="G47" s="120"/>
      <c r="H47" s="121"/>
      <c r="I47" s="122"/>
    </row>
  </sheetData>
  <mergeCells count="1">
    <mergeCell ref="F31:V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UncTable</vt:lpstr>
      <vt:lpstr>data analysis</vt:lpstr>
      <vt:lpstr>probability</vt:lpstr>
    </vt:vector>
  </TitlesOfParts>
  <Company>INRiM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Zucco</dc:creator>
  <cp:lastModifiedBy>Massimo Zucco</cp:lastModifiedBy>
  <dcterms:created xsi:type="dcterms:W3CDTF">2025-01-29T21:52:34Z</dcterms:created>
  <dcterms:modified xsi:type="dcterms:W3CDTF">2026-01-23T08:54:23Z</dcterms:modified>
</cp:coreProperties>
</file>